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5"/>
    <sheet state="visible" name="tabla" sheetId="2" r:id="rId6"/>
    <sheet state="visible" name="Tabla dinámica 8" sheetId="3" r:id="rId7"/>
    <sheet state="visible" name="preguntas" sheetId="4" r:id="rId8"/>
    <sheet state="visible" name="Hoja 8" sheetId="5" r:id="rId9"/>
  </sheets>
  <definedNames>
    <definedName hidden="1" localSheetId="1" name="_xlnm._FilterDatabase">tabla!$A$1:$L$343</definedName>
  </definedNames>
  <calcPr/>
  <pivotCaches>
    <pivotCache cacheId="0" r:id="rId10"/>
  </pivotCaches>
</workbook>
</file>

<file path=xl/sharedStrings.xml><?xml version="1.0" encoding="utf-8"?>
<sst xmlns="http://schemas.openxmlformats.org/spreadsheetml/2006/main" count="6201" uniqueCount="665">
  <si>
    <t>studyName</t>
  </si>
  <si>
    <t>Sample Number</t>
  </si>
  <si>
    <t>Species</t>
  </si>
  <si>
    <t>Island</t>
  </si>
  <si>
    <t>Individual ID</t>
  </si>
  <si>
    <t>Clutch Completion</t>
  </si>
  <si>
    <t>Date Egg</t>
  </si>
  <si>
    <t>Culmen Length (mm)</t>
  </si>
  <si>
    <t>Culmen Depth (mm)</t>
  </si>
  <si>
    <t>Flipper Length (mm)</t>
  </si>
  <si>
    <t>Body Mass (g)</t>
  </si>
  <si>
    <t>Sex</t>
  </si>
  <si>
    <t>PAL0708</t>
  </si>
  <si>
    <t>Adelie Penguin (Pygoscelis adeliae)</t>
  </si>
  <si>
    <t>Torgersen</t>
  </si>
  <si>
    <t>N1A1</t>
  </si>
  <si>
    <t>Yes</t>
  </si>
  <si>
    <t>2007-11-11</t>
  </si>
  <si>
    <t>MALE</t>
  </si>
  <si>
    <t>N1A2</t>
  </si>
  <si>
    <t>FEMALE</t>
  </si>
  <si>
    <t>N2A1</t>
  </si>
  <si>
    <t>2007-11-16</t>
  </si>
  <si>
    <t>N3A1</t>
  </si>
  <si>
    <t>N3A2</t>
  </si>
  <si>
    <t>N4A1</t>
  </si>
  <si>
    <t>No</t>
  </si>
  <si>
    <t>2007-11-15</t>
  </si>
  <si>
    <t>N4A2</t>
  </si>
  <si>
    <t>N5A1</t>
  </si>
  <si>
    <t>2007-11-09</t>
  </si>
  <si>
    <t>NA</t>
  </si>
  <si>
    <t>N5A2</t>
  </si>
  <si>
    <t>N6A1</t>
  </si>
  <si>
    <t>N6A2</t>
  </si>
  <si>
    <t>N7A1</t>
  </si>
  <si>
    <t>N7A2</t>
  </si>
  <si>
    <t>N8A1</t>
  </si>
  <si>
    <t>N8A2</t>
  </si>
  <si>
    <t>N9A1</t>
  </si>
  <si>
    <t>2007-11-12</t>
  </si>
  <si>
    <t>N9A2</t>
  </si>
  <si>
    <t>N10A1</t>
  </si>
  <si>
    <t>N10A2</t>
  </si>
  <si>
    <t>Biscoe</t>
  </si>
  <si>
    <t>N11A1</t>
  </si>
  <si>
    <t>N11A2</t>
  </si>
  <si>
    <t>N12A1</t>
  </si>
  <si>
    <t>N12A2</t>
  </si>
  <si>
    <t>N13A1</t>
  </si>
  <si>
    <t>2007-11-10</t>
  </si>
  <si>
    <t>N13A2</t>
  </si>
  <si>
    <t>N17A1</t>
  </si>
  <si>
    <t>N17A2</t>
  </si>
  <si>
    <t>N18A1</t>
  </si>
  <si>
    <t>N18A2</t>
  </si>
  <si>
    <t>Dream</t>
  </si>
  <si>
    <t>N21A1</t>
  </si>
  <si>
    <t>N21A2</t>
  </si>
  <si>
    <t>N22A1</t>
  </si>
  <si>
    <t>N22A2</t>
  </si>
  <si>
    <t>N23A1</t>
  </si>
  <si>
    <t>N23A2</t>
  </si>
  <si>
    <t>N24A1</t>
  </si>
  <si>
    <t>N24A2</t>
  </si>
  <si>
    <t>N25A1</t>
  </si>
  <si>
    <t>2007-11-13</t>
  </si>
  <si>
    <t>N25A2</t>
  </si>
  <si>
    <t>N26A1</t>
  </si>
  <si>
    <t>N26A2</t>
  </si>
  <si>
    <t>N27A1</t>
  </si>
  <si>
    <t>2007-11-19</t>
  </si>
  <si>
    <t>N27A2</t>
  </si>
  <si>
    <t>N28A1</t>
  </si>
  <si>
    <t>N28A2</t>
  </si>
  <si>
    <t>N29A1</t>
  </si>
  <si>
    <t>N29A2</t>
  </si>
  <si>
    <t>N30A1</t>
  </si>
  <si>
    <t>N30A2</t>
  </si>
  <si>
    <t>PAL0809</t>
  </si>
  <si>
    <t>2008-11-06</t>
  </si>
  <si>
    <t>2008-11-09</t>
  </si>
  <si>
    <t>2008-11-15</t>
  </si>
  <si>
    <t>2008-11-13</t>
  </si>
  <si>
    <t>N32A1</t>
  </si>
  <si>
    <t>2008-11-11</t>
  </si>
  <si>
    <t>N32A2</t>
  </si>
  <si>
    <t>N34A1</t>
  </si>
  <si>
    <t>2008-11-14</t>
  </si>
  <si>
    <t>N34A2</t>
  </si>
  <si>
    <t>N35A1</t>
  </si>
  <si>
    <t>N35A2</t>
  </si>
  <si>
    <t>N36A1</t>
  </si>
  <si>
    <t>2008-11-08</t>
  </si>
  <si>
    <t>N36A2</t>
  </si>
  <si>
    <t>N37A1</t>
  </si>
  <si>
    <t>N37A2</t>
  </si>
  <si>
    <t>N38A1</t>
  </si>
  <si>
    <t>N38A2</t>
  </si>
  <si>
    <t>N39A1</t>
  </si>
  <si>
    <t>2008-11-02</t>
  </si>
  <si>
    <t>N39A2</t>
  </si>
  <si>
    <t>N40A1</t>
  </si>
  <si>
    <t>2008-11-07</t>
  </si>
  <si>
    <t>N40A2</t>
  </si>
  <si>
    <t>N41A1</t>
  </si>
  <si>
    <t>2008-11-17</t>
  </si>
  <si>
    <t>N41A2</t>
  </si>
  <si>
    <t>N42A1</t>
  </si>
  <si>
    <t>N42A2</t>
  </si>
  <si>
    <t>N44A1</t>
  </si>
  <si>
    <t>N44A2</t>
  </si>
  <si>
    <t>N45A1</t>
  </si>
  <si>
    <t>N45A2</t>
  </si>
  <si>
    <t>N46A1</t>
  </si>
  <si>
    <t>2008-11-05</t>
  </si>
  <si>
    <t>N46A2</t>
  </si>
  <si>
    <t>N48A1</t>
  </si>
  <si>
    <t>N48A2</t>
  </si>
  <si>
    <t>N49A1</t>
  </si>
  <si>
    <t>N49A2</t>
  </si>
  <si>
    <t>N50A1</t>
  </si>
  <si>
    <t>2008-11-10</t>
  </si>
  <si>
    <t>N50A2</t>
  </si>
  <si>
    <t>PAL0910</t>
  </si>
  <si>
    <t>N47A1</t>
  </si>
  <si>
    <t>2009-11-09</t>
  </si>
  <si>
    <t>N47A2</t>
  </si>
  <si>
    <t>2009-11-15</t>
  </si>
  <si>
    <t>N51A1</t>
  </si>
  <si>
    <t>N51A2</t>
  </si>
  <si>
    <t>N53A1</t>
  </si>
  <si>
    <t>N53A2</t>
  </si>
  <si>
    <t>N55A1</t>
  </si>
  <si>
    <t>2009-11-20</t>
  </si>
  <si>
    <t>N55A2</t>
  </si>
  <si>
    <t>N58A1</t>
  </si>
  <si>
    <t>2009-11-12</t>
  </si>
  <si>
    <t>N58A2</t>
  </si>
  <si>
    <t>N60A1</t>
  </si>
  <si>
    <t>N60A2</t>
  </si>
  <si>
    <t>N61A1</t>
  </si>
  <si>
    <t>2009-11-17</t>
  </si>
  <si>
    <t>N61A2</t>
  </si>
  <si>
    <t>N63A1</t>
  </si>
  <si>
    <t>2009-11-18</t>
  </si>
  <si>
    <t>N63A2</t>
  </si>
  <si>
    <t>N64A1</t>
  </si>
  <si>
    <t>2009-11-22</t>
  </si>
  <si>
    <t>N64A2</t>
  </si>
  <si>
    <t>N66A1</t>
  </si>
  <si>
    <t>N66A2</t>
  </si>
  <si>
    <t>N67A1</t>
  </si>
  <si>
    <t>2009-11-16</t>
  </si>
  <si>
    <t>N67A2</t>
  </si>
  <si>
    <t>N69A1</t>
  </si>
  <si>
    <t>N69A2</t>
  </si>
  <si>
    <t>N71A1</t>
  </si>
  <si>
    <t>2009-11-21</t>
  </si>
  <si>
    <t>N71A2</t>
  </si>
  <si>
    <t>N72A1</t>
  </si>
  <si>
    <t>N72A2</t>
  </si>
  <si>
    <t>N73A1</t>
  </si>
  <si>
    <t>2009-11-23</t>
  </si>
  <si>
    <t>N73A2</t>
  </si>
  <si>
    <t>N76A1</t>
  </si>
  <si>
    <t>2009-11-10</t>
  </si>
  <si>
    <t>N76A2</t>
  </si>
  <si>
    <t>N77A1</t>
  </si>
  <si>
    <t>2009-11-13</t>
  </si>
  <si>
    <t>N77A2</t>
  </si>
  <si>
    <t>N78A1</t>
  </si>
  <si>
    <t>N78A2</t>
  </si>
  <si>
    <t>N79A1</t>
  </si>
  <si>
    <t>N79A2</t>
  </si>
  <si>
    <t>N80A1</t>
  </si>
  <si>
    <t>2009-11-14</t>
  </si>
  <si>
    <t>N80A2</t>
  </si>
  <si>
    <t>N81A1</t>
  </si>
  <si>
    <t>N81A2</t>
  </si>
  <si>
    <t>N82A1</t>
  </si>
  <si>
    <t>N82A2</t>
  </si>
  <si>
    <t>N83A1</t>
  </si>
  <si>
    <t>N83A2</t>
  </si>
  <si>
    <t>N84A1</t>
  </si>
  <si>
    <t>N84A2</t>
  </si>
  <si>
    <t>N85A1</t>
  </si>
  <si>
    <t>N85A2</t>
  </si>
  <si>
    <t>Gentoo penguin (Pygoscelis papua)</t>
  </si>
  <si>
    <t>N31A1</t>
  </si>
  <si>
    <t>2007-11-27</t>
  </si>
  <si>
    <t>N31A2</t>
  </si>
  <si>
    <t>N33A1</t>
  </si>
  <si>
    <t>2007-11-18</t>
  </si>
  <si>
    <t>N33A2</t>
  </si>
  <si>
    <t>2007-11-29</t>
  </si>
  <si>
    <t>2007-12-03</t>
  </si>
  <si>
    <t>N56A1</t>
  </si>
  <si>
    <t>N56A2</t>
  </si>
  <si>
    <t>N2A2</t>
  </si>
  <si>
    <t>2008-11-04</t>
  </si>
  <si>
    <t>2008-11-03</t>
  </si>
  <si>
    <t>N14A1</t>
  </si>
  <si>
    <t>N14A2</t>
  </si>
  <si>
    <t>N15A1</t>
  </si>
  <si>
    <t>N15A2</t>
  </si>
  <si>
    <t>N16A1</t>
  </si>
  <si>
    <t>N16A2</t>
  </si>
  <si>
    <t>N19A1</t>
  </si>
  <si>
    <t>N19A2</t>
  </si>
  <si>
    <t>N20A1</t>
  </si>
  <si>
    <t>N20A2</t>
  </si>
  <si>
    <t>N54A1</t>
  </si>
  <si>
    <t>N54A2</t>
  </si>
  <si>
    <t>2009-11-25</t>
  </si>
  <si>
    <t>2009-12-01</t>
  </si>
  <si>
    <t>2009-11-27</t>
  </si>
  <si>
    <t>N43A1</t>
  </si>
  <si>
    <t>N43A2</t>
  </si>
  <si>
    <t>Chinstrap penguin (Pygoscelis antarctica)</t>
  </si>
  <si>
    <t>N62A1</t>
  </si>
  <si>
    <t>2007-11-26</t>
  </si>
  <si>
    <t>N62A2</t>
  </si>
  <si>
    <t>2007-11-21</t>
  </si>
  <si>
    <t>2007-11-28</t>
  </si>
  <si>
    <t>N68A1</t>
  </si>
  <si>
    <t>N68A2</t>
  </si>
  <si>
    <t>N70A1</t>
  </si>
  <si>
    <t>2007-11-22</t>
  </si>
  <si>
    <t>N70A2</t>
  </si>
  <si>
    <t>2007-11-30</t>
  </si>
  <si>
    <t>N89A1</t>
  </si>
  <si>
    <t>N89A2</t>
  </si>
  <si>
    <t>2008-11-25</t>
  </si>
  <si>
    <t>2008-11-24</t>
  </si>
  <si>
    <t>N65A1</t>
  </si>
  <si>
    <t>N65A2</t>
  </si>
  <si>
    <t>N74A1</t>
  </si>
  <si>
    <t>N74A2</t>
  </si>
  <si>
    <t>N75A1</t>
  </si>
  <si>
    <t>N75A2</t>
  </si>
  <si>
    <t>N86A1</t>
  </si>
  <si>
    <t>N86A2</t>
  </si>
  <si>
    <t>N87A1</t>
  </si>
  <si>
    <t>N87A2</t>
  </si>
  <si>
    <t>N88A1</t>
  </si>
  <si>
    <t>N88A2</t>
  </si>
  <si>
    <t>N90A1</t>
  </si>
  <si>
    <t>N90A2</t>
  </si>
  <si>
    <t>N92A1</t>
  </si>
  <si>
    <t>N92A2</t>
  </si>
  <si>
    <t>N93A1</t>
  </si>
  <si>
    <t>N93A2</t>
  </si>
  <si>
    <t>N94A1</t>
  </si>
  <si>
    <t>N94A2</t>
  </si>
  <si>
    <t>N95A1</t>
  </si>
  <si>
    <t>N95A2</t>
  </si>
  <si>
    <t>N96A1</t>
  </si>
  <si>
    <t>N96A2</t>
  </si>
  <si>
    <t>N98A1</t>
  </si>
  <si>
    <t>2009-11-19</t>
  </si>
  <si>
    <t>N98A2</t>
  </si>
  <si>
    <t>N99A1</t>
  </si>
  <si>
    <t>N99A2</t>
  </si>
  <si>
    <t>N100A1</t>
  </si>
  <si>
    <t>N100A2</t>
  </si>
  <si>
    <t>PICO LONG</t>
  </si>
  <si>
    <t>PICO PROF</t>
  </si>
  <si>
    <t>ALETA LONG</t>
  </si>
  <si>
    <t>MASA CORP</t>
  </si>
  <si>
    <t xml:space="preserve">Adelie </t>
  </si>
  <si>
    <t>Gentoo</t>
  </si>
  <si>
    <t>Chinstrap</t>
  </si>
  <si>
    <t>COUNTA de Sex</t>
  </si>
  <si>
    <t>Suma total</t>
  </si>
  <si>
    <t>Nivel 1: Estructura Básica (obligatorio)</t>
  </si>
  <si>
    <t>¿Cuantas especies hay y cuantas observaciones de cada una?</t>
  </si>
  <si>
    <t>TOTAL Species</t>
  </si>
  <si>
    <t>Los pingüinos Adelie son los que más se presentan en el conjunto de datos, seguidos de la especie Gentoo y Chinstrap.</t>
  </si>
  <si>
    <t>Adelie aumenta todos los años  de poblaciónm mientras que Chistra y Gentoo van sufriendo decrementos e incrementos, pero estudiandolos de manera global la población de pingüinos aumenta cada años.</t>
  </si>
  <si>
    <t>¿En qué islas aparecen los pingüinos y cuántos por isla?</t>
  </si>
  <si>
    <t>Islas</t>
  </si>
  <si>
    <t>% especie</t>
  </si>
  <si>
    <t>% isla</t>
  </si>
  <si>
    <t>Total Especies</t>
  </si>
  <si>
    <t>Total Studio</t>
  </si>
  <si>
    <t>La mitad de los pingüinos se encuentra en la isla Biscoe, una minoria esta en la isla Torgersen, y los demás en la isla Dream.</t>
  </si>
  <si>
    <t>¿Hay equilibrio entre islas o alguna predomina?</t>
  </si>
  <si>
    <t xml:space="preserve">No hay equilibirio entre islas puesto que no hay presencia de las tres especies en las tres islas, la especie Chinstrap solo se encuentra en la isla Dream y la especie Gentoo solo aparece en la isla Biscoe.  </t>
  </si>
  <si>
    <t>Como dato general la isla donde mas pingüinos habitan es Biscoe seguido de Dream y por último Torgersen.</t>
  </si>
  <si>
    <t>Nivel 2: Patrones Morfológicos (obligatorio)</t>
  </si>
  <si>
    <t>¿Qué diferencias en tamaño/forma existen entre especies?</t>
  </si>
  <si>
    <t>SEXO</t>
  </si>
  <si>
    <t>TOTAL</t>
  </si>
  <si>
    <t>PICO-ALETA-MASA</t>
  </si>
  <si>
    <t>MEDIA</t>
  </si>
  <si>
    <t>LONG PICO</t>
  </si>
  <si>
    <t>PROF PICO</t>
  </si>
  <si>
    <t>ALETA</t>
  </si>
  <si>
    <t>TOTAL PINGUINOS</t>
  </si>
  <si>
    <t>MEDIA POR SEXO</t>
  </si>
  <si>
    <t>DIFERENCIA X SEXO</t>
  </si>
  <si>
    <t>La mediana de la longitud del pico es de 44 mm.</t>
  </si>
  <si>
    <t xml:space="preserve">La profundidad de pico es generalmente de 17 mm, con una alta frecuencia entre 18 y 19 mm. </t>
  </si>
  <si>
    <t>La longitud de la aleta tiene una mediana de 197 mm. multimodal.</t>
  </si>
  <si>
    <t xml:space="preserve">Los pingüinos tienen una masa corporal generalmente de 4000 gramos o 4 Kilogramos. </t>
  </si>
  <si>
    <t>¿Qué desequilibrios de muestreo veo?</t>
  </si>
  <si>
    <t>¿Qué información me faltaría para responder mejor?</t>
  </si>
  <si>
    <t>¿Qué cambios recomendaría en futuras campañas de recogida?</t>
  </si>
  <si>
    <r>
      <t>Balance del dataset</t>
    </r>
    <r>
      <rPr>
        <rFont val="Inter, sans-serif"/>
        <color rgb="FF1155CC"/>
        <sz val="12.0"/>
        <u/>
      </rPr>
      <t>¶</t>
    </r>
  </si>
  <si>
    <t>La estimación de la asimetría mide la falta de simetría en una distribución de datos respecto a su media. Los valores principales incluyen asimetría positiva (cola derecha larga), negativa (cola izquierda larga) o cero (simétrica). Se calcula comúnmente mediante el coeficiente de Fisher o de Pearson.</t>
  </si>
  <si>
    <t>Se tiene tres variables categoricas: species, island, y sex. Las demás características son númericas.</t>
  </si>
  <si>
    <t>El dataset no esta balanceado, ya que todas las especies no tienen el mismo número de datos.</t>
  </si>
  <si>
    <t>El dataset no esta completo y faltan algunos datos, en su mayoría sobre el sexo de los pingüinos.</t>
  </si>
  <si>
    <t>En cuanto a datos:</t>
  </si>
  <si>
    <t>El dataset no esta equilibrado en los datos de especies (hay muhca diferencia de población en cada una) y en los datos de las islas ( no vieven las tres especies en las tres islas)</t>
  </si>
  <si>
    <t>Si hay equilibrio en cuanto al sexo de los pingüinos.</t>
  </si>
  <si>
    <t>El dataset no está completo, faltan datos, principalmente en el sexo.</t>
  </si>
  <si>
    <t>Detectamos tres variables: especies, islas y sexo.</t>
  </si>
  <si>
    <t>En cuanto a morfologia:</t>
  </si>
  <si>
    <t>Id-Estudio-Especie</t>
  </si>
  <si>
    <t>COUNTA de Individual ID</t>
  </si>
  <si>
    <t>COUNT de Sample Number</t>
  </si>
  <si>
    <t>Total N100A1</t>
  </si>
  <si>
    <t>Total N100A2</t>
  </si>
  <si>
    <t>Total 1</t>
  </si>
  <si>
    <t>Total N10A1</t>
  </si>
  <si>
    <t>Total N10A2</t>
  </si>
  <si>
    <t>Total 2</t>
  </si>
  <si>
    <t>Total N11A1</t>
  </si>
  <si>
    <t>Total 3</t>
  </si>
  <si>
    <t>Total N11A2</t>
  </si>
  <si>
    <t>Total 4</t>
  </si>
  <si>
    <t>Total N12A1</t>
  </si>
  <si>
    <t>Total 5</t>
  </si>
  <si>
    <t>Total N12A2</t>
  </si>
  <si>
    <t>Total N13A1</t>
  </si>
  <si>
    <t>Total 6</t>
  </si>
  <si>
    <t>Total N13A2</t>
  </si>
  <si>
    <t>Total 7</t>
  </si>
  <si>
    <t>Total N14A1</t>
  </si>
  <si>
    <t>Total N14A2</t>
  </si>
  <si>
    <t>Total 8</t>
  </si>
  <si>
    <t>Total N15A1</t>
  </si>
  <si>
    <t>Total N15A2</t>
  </si>
  <si>
    <t>Total 9</t>
  </si>
  <si>
    <t>Total N16A1</t>
  </si>
  <si>
    <t>Total N16A2</t>
  </si>
  <si>
    <t>Total 10</t>
  </si>
  <si>
    <t>Total N17A1</t>
  </si>
  <si>
    <t>Total 11</t>
  </si>
  <si>
    <t>Total N17A2</t>
  </si>
  <si>
    <t>Total N18A1</t>
  </si>
  <si>
    <t>Total 12</t>
  </si>
  <si>
    <t>Total N18A2</t>
  </si>
  <si>
    <t>Total 13</t>
  </si>
  <si>
    <t>Total N19A1</t>
  </si>
  <si>
    <t>Total N19A2</t>
  </si>
  <si>
    <t>Total 14</t>
  </si>
  <si>
    <t>Total N1A1</t>
  </si>
  <si>
    <t>Total 15</t>
  </si>
  <si>
    <t>Total N1A2</t>
  </si>
  <si>
    <t>Total N20A1</t>
  </si>
  <si>
    <t>Total 16</t>
  </si>
  <si>
    <t>Total N20A2</t>
  </si>
  <si>
    <t>Total N21A1</t>
  </si>
  <si>
    <t>Total 17</t>
  </si>
  <si>
    <t>Total N21A2</t>
  </si>
  <si>
    <t>Total 18</t>
  </si>
  <si>
    <t>Total N22A1</t>
  </si>
  <si>
    <t>Total 19</t>
  </si>
  <si>
    <t>Total N22A2</t>
  </si>
  <si>
    <t>Total N23A1</t>
  </si>
  <si>
    <t>Total 20</t>
  </si>
  <si>
    <t>Total N23A2</t>
  </si>
  <si>
    <t>Total 21</t>
  </si>
  <si>
    <t>Total N24A1</t>
  </si>
  <si>
    <t>Total 22</t>
  </si>
  <si>
    <t>Total N24A2</t>
  </si>
  <si>
    <t>Total N25A1</t>
  </si>
  <si>
    <t>Total 23</t>
  </si>
  <si>
    <t>Total N25A2</t>
  </si>
  <si>
    <t>Total N26A1</t>
  </si>
  <si>
    <t>Total 24</t>
  </si>
  <si>
    <t>Total N26A2</t>
  </si>
  <si>
    <t>Total N27A1</t>
  </si>
  <si>
    <t>Total 25</t>
  </si>
  <si>
    <t>Total N27A2</t>
  </si>
  <si>
    <t>Total N28A1</t>
  </si>
  <si>
    <t>Total 26</t>
  </si>
  <si>
    <t>Total N28A2</t>
  </si>
  <si>
    <t>Total 27</t>
  </si>
  <si>
    <t>Total N29A1</t>
  </si>
  <si>
    <t>Total 28</t>
  </si>
  <si>
    <t>Total N29A2</t>
  </si>
  <si>
    <t>Total N2A1</t>
  </si>
  <si>
    <t>Total 29</t>
  </si>
  <si>
    <t>Total N2A2</t>
  </si>
  <si>
    <t>Total N30A1</t>
  </si>
  <si>
    <t>Total 30</t>
  </si>
  <si>
    <t>Total N30A2</t>
  </si>
  <si>
    <t>Total N31A1</t>
  </si>
  <si>
    <t>Total 31</t>
  </si>
  <si>
    <t>Total N31A2</t>
  </si>
  <si>
    <t>Total 32</t>
  </si>
  <si>
    <t>Total N32A1</t>
  </si>
  <si>
    <t>Total N32A2</t>
  </si>
  <si>
    <t>Total 33</t>
  </si>
  <si>
    <t>Total N33A1</t>
  </si>
  <si>
    <t>Total N33A2</t>
  </si>
  <si>
    <t>Total 34</t>
  </si>
  <si>
    <t>Total N34A1</t>
  </si>
  <si>
    <t>Total 35</t>
  </si>
  <si>
    <t>Total N34A2</t>
  </si>
  <si>
    <t>Total 36</t>
  </si>
  <si>
    <t>Total N35A1</t>
  </si>
  <si>
    <t>Total N35A2</t>
  </si>
  <si>
    <t>Total 37</t>
  </si>
  <si>
    <t>Total N36A1</t>
  </si>
  <si>
    <t>Total 38</t>
  </si>
  <si>
    <t>Total N36A2</t>
  </si>
  <si>
    <t>Total 39</t>
  </si>
  <si>
    <t>Total N37A1</t>
  </si>
  <si>
    <t>Total N37A2</t>
  </si>
  <si>
    <t>Total 40</t>
  </si>
  <si>
    <t>Total N38A1</t>
  </si>
  <si>
    <t>Total 41</t>
  </si>
  <si>
    <t>Total N38A2</t>
  </si>
  <si>
    <t>Total 42</t>
  </si>
  <si>
    <t>Total N39A1</t>
  </si>
  <si>
    <t>Total N39A2</t>
  </si>
  <si>
    <t>Total 43</t>
  </si>
  <si>
    <t>Total N3A1</t>
  </si>
  <si>
    <t>Total N3A2</t>
  </si>
  <si>
    <t>Total 44</t>
  </si>
  <si>
    <t>Total N40A1</t>
  </si>
  <si>
    <t>Total 45</t>
  </si>
  <si>
    <t>Total N40A2</t>
  </si>
  <si>
    <t>Total 46</t>
  </si>
  <si>
    <t>Total N41A1</t>
  </si>
  <si>
    <t>Total N41A2</t>
  </si>
  <si>
    <t>Total 47</t>
  </si>
  <si>
    <t>Total N42A1</t>
  </si>
  <si>
    <t>Total 48</t>
  </si>
  <si>
    <t>Total N42A2</t>
  </si>
  <si>
    <t>Total N43A1</t>
  </si>
  <si>
    <t>Total 49</t>
  </si>
  <si>
    <t>Total N43A2</t>
  </si>
  <si>
    <t>Total 50</t>
  </si>
  <si>
    <t>Total N44A1</t>
  </si>
  <si>
    <t>Total N44A2</t>
  </si>
  <si>
    <t>Total 51</t>
  </si>
  <si>
    <t>Total N45A1</t>
  </si>
  <si>
    <t>Total N45A2</t>
  </si>
  <si>
    <t>Total 52</t>
  </si>
  <si>
    <t>Total N46A1</t>
  </si>
  <si>
    <t>Total 53</t>
  </si>
  <si>
    <t>Total N46A2</t>
  </si>
  <si>
    <t>Total 54</t>
  </si>
  <si>
    <t>Total N47A1</t>
  </si>
  <si>
    <t>Total N47A2</t>
  </si>
  <si>
    <t>Total 55</t>
  </si>
  <si>
    <t>Total N48A1</t>
  </si>
  <si>
    <t>Total N48A2</t>
  </si>
  <si>
    <t>Total 56</t>
  </si>
  <si>
    <t>Total N49A1</t>
  </si>
  <si>
    <t>Total N49A2</t>
  </si>
  <si>
    <t>Total 57</t>
  </si>
  <si>
    <t>Total N4A1</t>
  </si>
  <si>
    <t>Total 58</t>
  </si>
  <si>
    <t>Total N4A2</t>
  </si>
  <si>
    <t>Total 59</t>
  </si>
  <si>
    <t>Total N50A1</t>
  </si>
  <si>
    <t>Total N50A2</t>
  </si>
  <si>
    <t>Total 60</t>
  </si>
  <si>
    <t>Total N51A1</t>
  </si>
  <si>
    <t>Total 61</t>
  </si>
  <si>
    <t>Total N51A2</t>
  </si>
  <si>
    <t>Total 62</t>
  </si>
  <si>
    <t>Total N53A1</t>
  </si>
  <si>
    <t>Total N53A2</t>
  </si>
  <si>
    <t>Total 63</t>
  </si>
  <si>
    <t>Total N54A1</t>
  </si>
  <si>
    <t>Total N54A2</t>
  </si>
  <si>
    <t>Total 64</t>
  </si>
  <si>
    <t>Total N55A1</t>
  </si>
  <si>
    <t>Total 65</t>
  </si>
  <si>
    <t>Total N55A2</t>
  </si>
  <si>
    <t>Total N56A1</t>
  </si>
  <si>
    <t>Total 66</t>
  </si>
  <si>
    <t>Total N56A2</t>
  </si>
  <si>
    <t>Total 67</t>
  </si>
  <si>
    <t>Total N58A1</t>
  </si>
  <si>
    <t>Total N58A2</t>
  </si>
  <si>
    <t>Total 68</t>
  </si>
  <si>
    <t>Total N5A1</t>
  </si>
  <si>
    <t>Total 69</t>
  </si>
  <si>
    <t>Total N5A2</t>
  </si>
  <si>
    <t>Total 70</t>
  </si>
  <si>
    <t>Total N60A1</t>
  </si>
  <si>
    <t>Total 71</t>
  </si>
  <si>
    <t>Total N60A2</t>
  </si>
  <si>
    <t>Total 72</t>
  </si>
  <si>
    <t>Total N61A1</t>
  </si>
  <si>
    <t>Total 73</t>
  </si>
  <si>
    <t>Total N61A2</t>
  </si>
  <si>
    <t>Total 74</t>
  </si>
  <si>
    <t>Total N62A1</t>
  </si>
  <si>
    <t>Total 75</t>
  </si>
  <si>
    <t>Total N62A2</t>
  </si>
  <si>
    <t>Total 76</t>
  </si>
  <si>
    <t>Total N63A1</t>
  </si>
  <si>
    <t>Total 77</t>
  </si>
  <si>
    <t>Total N63A2</t>
  </si>
  <si>
    <t>Total 78</t>
  </si>
  <si>
    <t>Total N64A1</t>
  </si>
  <si>
    <t>Total 79</t>
  </si>
  <si>
    <t>Total N64A2</t>
  </si>
  <si>
    <t>Total N65A1</t>
  </si>
  <si>
    <t>Total 80</t>
  </si>
  <si>
    <t>Total N65A2</t>
  </si>
  <si>
    <t>Total 81</t>
  </si>
  <si>
    <t>Total N66A1</t>
  </si>
  <si>
    <t>Total 82</t>
  </si>
  <si>
    <t>Total N66A2</t>
  </si>
  <si>
    <t>Total 83</t>
  </si>
  <si>
    <t>Total N67A1</t>
  </si>
  <si>
    <t>Total 84</t>
  </si>
  <si>
    <t>Total N67A2</t>
  </si>
  <si>
    <t>Total 85</t>
  </si>
  <si>
    <t>Total N68A1</t>
  </si>
  <si>
    <t>Total N68A2</t>
  </si>
  <si>
    <t>Total 86</t>
  </si>
  <si>
    <t>Total N69A1</t>
  </si>
  <si>
    <t>Total 87</t>
  </si>
  <si>
    <t>Total N69A2</t>
  </si>
  <si>
    <t>Total 88</t>
  </si>
  <si>
    <t>Total N6A1</t>
  </si>
  <si>
    <t>Total 89</t>
  </si>
  <si>
    <t>Total N6A2</t>
  </si>
  <si>
    <t>Total 90</t>
  </si>
  <si>
    <t>Total N70A1</t>
  </si>
  <si>
    <t>Total 91</t>
  </si>
  <si>
    <t>Total N70A2</t>
  </si>
  <si>
    <t>Total 92</t>
  </si>
  <si>
    <t>Total N71A1</t>
  </si>
  <si>
    <t>Total 93</t>
  </si>
  <si>
    <t>Total N71A2</t>
  </si>
  <si>
    <t>Total 94</t>
  </si>
  <si>
    <t>Total N72A1</t>
  </si>
  <si>
    <t>Total 95</t>
  </si>
  <si>
    <t>Total N72A2</t>
  </si>
  <si>
    <t>Total 96</t>
  </si>
  <si>
    <t>Total N73A1</t>
  </si>
  <si>
    <t>Total 97</t>
  </si>
  <si>
    <t>Total N73A2</t>
  </si>
  <si>
    <t>Total N74A1</t>
  </si>
  <si>
    <t>Total 98</t>
  </si>
  <si>
    <t>Total N74A2</t>
  </si>
  <si>
    <t>Total 99</t>
  </si>
  <si>
    <t>Total N75A1</t>
  </si>
  <si>
    <t>Total N75A2</t>
  </si>
  <si>
    <t>Total 100</t>
  </si>
  <si>
    <t>Total N76A1</t>
  </si>
  <si>
    <t>Total 101</t>
  </si>
  <si>
    <t>Total N76A2</t>
  </si>
  <si>
    <t>Total N77A1</t>
  </si>
  <si>
    <t>Total 102</t>
  </si>
  <si>
    <t>Total N77A2</t>
  </si>
  <si>
    <t>Total 103</t>
  </si>
  <si>
    <t>Total N78A1</t>
  </si>
  <si>
    <t>Total N78A2</t>
  </si>
  <si>
    <t>Total 104</t>
  </si>
  <si>
    <t>Total N79A1</t>
  </si>
  <si>
    <t>Total 105</t>
  </si>
  <si>
    <t>Total N79A2</t>
  </si>
  <si>
    <t>Total 106</t>
  </si>
  <si>
    <t>Total N7A1</t>
  </si>
  <si>
    <t>Total 107</t>
  </si>
  <si>
    <t>Total N7A2</t>
  </si>
  <si>
    <t>Total N80A1</t>
  </si>
  <si>
    <t>Total 108</t>
  </si>
  <si>
    <t>Total N80A2</t>
  </si>
  <si>
    <t>Total 109</t>
  </si>
  <si>
    <t>Total N81A1</t>
  </si>
  <si>
    <t>Total N81A2</t>
  </si>
  <si>
    <t>Total 110</t>
  </si>
  <si>
    <t>Total N82A1</t>
  </si>
  <si>
    <t>Total 111</t>
  </si>
  <si>
    <t>Total N82A2</t>
  </si>
  <si>
    <t>Total N83A1</t>
  </si>
  <si>
    <t>Total 112</t>
  </si>
  <si>
    <t>Total N83A2</t>
  </si>
  <si>
    <t>Total 113</t>
  </si>
  <si>
    <t>Total N84A1</t>
  </si>
  <si>
    <t>Total N84A2</t>
  </si>
  <si>
    <t>Total 114</t>
  </si>
  <si>
    <t>Total N85A1</t>
  </si>
  <si>
    <t>Total 115</t>
  </si>
  <si>
    <t>Total N85A2</t>
  </si>
  <si>
    <t>Total 116</t>
  </si>
  <si>
    <t>Total N86A1</t>
  </si>
  <si>
    <t>Total 117</t>
  </si>
  <si>
    <t>Total N86A2</t>
  </si>
  <si>
    <t>Total N87A1</t>
  </si>
  <si>
    <t>Total 118</t>
  </si>
  <si>
    <t>Total N87A2</t>
  </si>
  <si>
    <t>Total 119</t>
  </si>
  <si>
    <t>Total N88A1</t>
  </si>
  <si>
    <t>Total 120</t>
  </si>
  <si>
    <t>Total N88A2</t>
  </si>
  <si>
    <t>Total N89A1</t>
  </si>
  <si>
    <t>Total 121</t>
  </si>
  <si>
    <t>Total N89A2</t>
  </si>
  <si>
    <t>Total 122</t>
  </si>
  <si>
    <t>Total N8A1</t>
  </si>
  <si>
    <t>Total 123</t>
  </si>
  <si>
    <t>Total N8A2</t>
  </si>
  <si>
    <t>Total 124</t>
  </si>
  <si>
    <t>Total N90A1</t>
  </si>
  <si>
    <t>Total 125</t>
  </si>
  <si>
    <t>Total N90A2</t>
  </si>
  <si>
    <t>Total 126</t>
  </si>
  <si>
    <t>Total N92A1</t>
  </si>
  <si>
    <t>Total 127</t>
  </si>
  <si>
    <t>Total N92A2</t>
  </si>
  <si>
    <t>Total 128</t>
  </si>
  <si>
    <t>Total N93A1</t>
  </si>
  <si>
    <t>Total 129</t>
  </si>
  <si>
    <t>Total N93A2</t>
  </si>
  <si>
    <t>Total 130</t>
  </si>
  <si>
    <t>Total N94A1</t>
  </si>
  <si>
    <t>Total 131</t>
  </si>
  <si>
    <t>Total N94A2</t>
  </si>
  <si>
    <t>Total 132</t>
  </si>
  <si>
    <t>Total N95A1</t>
  </si>
  <si>
    <t>Total 133</t>
  </si>
  <si>
    <t>Total N95A2</t>
  </si>
  <si>
    <t>Total 134</t>
  </si>
  <si>
    <t>Total N96A1</t>
  </si>
  <si>
    <t>Total 135</t>
  </si>
  <si>
    <t>Total N96A2</t>
  </si>
  <si>
    <t>Total 136</t>
  </si>
  <si>
    <t>Total N98A1</t>
  </si>
  <si>
    <t>Total 137</t>
  </si>
  <si>
    <t>Total N98A2</t>
  </si>
  <si>
    <t>Total 138</t>
  </si>
  <si>
    <t>Total N99A1</t>
  </si>
  <si>
    <t>Total 139</t>
  </si>
  <si>
    <t>Total N99A2</t>
  </si>
  <si>
    <t>Total 140</t>
  </si>
  <si>
    <t>Total N9A1</t>
  </si>
  <si>
    <t>Total 141</t>
  </si>
  <si>
    <t>Total N9A2</t>
  </si>
  <si>
    <t>Total 142</t>
  </si>
  <si>
    <t>Total 143</t>
  </si>
  <si>
    <t>Total 144</t>
  </si>
  <si>
    <t>Total 145</t>
  </si>
  <si>
    <t>Total 146</t>
  </si>
  <si>
    <t>Total 147</t>
  </si>
  <si>
    <t>Total 148</t>
  </si>
  <si>
    <t>Total 149</t>
  </si>
  <si>
    <t>Total 150</t>
  </si>
  <si>
    <t>Total 151</t>
  </si>
  <si>
    <t>Total 152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</si>
</sst>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rgb="FF000000"/>
      <name val="Calibri"/>
      <scheme val="minor"/>
    </font>
    <font>
      <color theme="1"/>
      <name val="Calibri"/>
      <scheme val="minor"/>
    </font>
    <font>
      <b/>
      <sz val="16.0"/>
      <color theme="1"/>
      <name val="Calibri"/>
      <scheme val="minor"/>
    </font>
    <font>
      <color rgb="FF0000FF"/>
      <name val="Calibri"/>
      <scheme val="minor"/>
    </font>
    <font>
      <b/>
      <color theme="1"/>
      <name val="Calibri"/>
      <scheme val="minor"/>
    </font>
    <font>
      <b/>
      <color rgb="FF000000"/>
      <name val="Calibri"/>
      <scheme val="minor"/>
    </font>
    <font>
      <b/>
      <color rgb="FFCC0000"/>
      <name val="Calibri"/>
      <scheme val="minor"/>
    </font>
    <font>
      <color rgb="FFCC0000"/>
      <name val="Calibri"/>
      <scheme val="minor"/>
    </font>
    <font>
      <i/>
      <color theme="1"/>
      <name val="Calibri"/>
      <scheme val="minor"/>
    </font>
    <font/>
    <font>
      <b/>
      <sz val="13.0"/>
      <color theme="1"/>
      <name val="Calibri"/>
      <scheme val="minor"/>
    </font>
    <font>
      <b/>
      <color rgb="FFFF0000"/>
      <name val="Calibri"/>
      <scheme val="minor"/>
    </font>
    <font>
      <b/>
      <sz val="9.0"/>
      <color rgb="FFFF0000"/>
      <name val="Calibri"/>
      <scheme val="minor"/>
    </font>
    <font>
      <sz val="11.0"/>
      <color rgb="FF3C4043"/>
      <name val="Inter"/>
    </font>
    <font>
      <u/>
      <sz val="12.0"/>
      <color rgb="FF202214"/>
      <name val="Inter"/>
    </font>
    <font>
      <sz val="12.0"/>
      <color rgb="FF000000"/>
      <name val="&quot;Google Sans&quot;"/>
    </font>
  </fonts>
  <fills count="12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CC0000"/>
        <bgColor rgb="FFCC0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8E7CC3"/>
      </left>
      <right style="thin">
        <color rgb="FF8E7CC3"/>
      </right>
      <top style="thin">
        <color rgb="FF8E7CC3"/>
      </top>
      <bottom style="thin">
        <color rgb="FF8E7CC3"/>
      </bottom>
    </border>
    <border>
      <left style="thin">
        <color rgb="FF8E7CC3"/>
      </left>
      <right style="thin">
        <color rgb="FF8E7CC3"/>
      </right>
      <top style="thin">
        <color rgb="FF8E7CC3"/>
      </top>
    </border>
    <border>
      <left style="thin">
        <color rgb="FF8E7CC3"/>
      </left>
      <top style="thin">
        <color rgb="FF8E7CC3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1" fillId="2" fontId="4" numFmtId="0" xfId="0" applyAlignment="1" applyBorder="1" applyFill="1" applyFont="1">
      <alignment horizontal="center"/>
    </xf>
    <xf borderId="1" fillId="2" fontId="5" numFmtId="0" xfId="0" applyAlignment="1" applyBorder="1" applyFont="1">
      <alignment horizontal="center"/>
    </xf>
    <xf borderId="1" fillId="3" fontId="6" numFmtId="0" xfId="0" applyAlignment="1" applyBorder="1" applyFill="1" applyFont="1">
      <alignment horizontal="center"/>
    </xf>
    <xf borderId="1" fillId="4" fontId="4" numFmtId="0" xfId="0" applyAlignment="1" applyBorder="1" applyFill="1" applyFont="1">
      <alignment horizontal="center"/>
    </xf>
    <xf borderId="1" fillId="0" fontId="1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  <xf borderId="1" fillId="5" fontId="6" numFmtId="0" xfId="0" applyAlignment="1" applyBorder="1" applyFill="1" applyFont="1">
      <alignment horizontal="center"/>
    </xf>
    <xf borderId="1" fillId="5" fontId="7" numFmtId="0" xfId="0" applyAlignment="1" applyBorder="1" applyFont="1">
      <alignment horizontal="center"/>
    </xf>
    <xf borderId="0" fillId="0" fontId="8" numFmtId="0" xfId="0" applyAlignment="1" applyFont="1">
      <alignment readingOrder="0"/>
    </xf>
    <xf borderId="1" fillId="2" fontId="4" numFmtId="0" xfId="0" applyAlignment="1" applyBorder="1" applyFont="1">
      <alignment horizontal="center" readingOrder="0"/>
    </xf>
    <xf borderId="1" fillId="0" fontId="1" numFmtId="10" xfId="0" applyAlignment="1" applyBorder="1" applyFont="1" applyNumberFormat="1">
      <alignment horizontal="center"/>
    </xf>
    <xf borderId="1" fillId="5" fontId="6" numFmtId="0" xfId="0" applyAlignment="1" applyBorder="1" applyFont="1">
      <alignment horizontal="center" readingOrder="0"/>
    </xf>
    <xf borderId="1" fillId="5" fontId="6" numFmtId="10" xfId="0" applyAlignment="1" applyBorder="1" applyFont="1" applyNumberFormat="1">
      <alignment horizontal="center"/>
    </xf>
    <xf borderId="1" fillId="5" fontId="6" numFmtId="10" xfId="0" applyAlignment="1" applyBorder="1" applyFont="1" applyNumberFormat="1">
      <alignment horizontal="center" readingOrder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2" fillId="6" fontId="1" numFmtId="0" xfId="0" applyAlignment="1" applyBorder="1" applyFill="1" applyFont="1">
      <alignment horizontal="center" shrinkToFit="0" vertical="center" wrapText="0"/>
    </xf>
    <xf borderId="1" fillId="6" fontId="1" numFmtId="0" xfId="0" applyBorder="1" applyFont="1"/>
    <xf borderId="1" fillId="6" fontId="1" numFmtId="0" xfId="0" applyAlignment="1" applyBorder="1" applyFont="1">
      <alignment horizontal="center"/>
    </xf>
    <xf borderId="3" fillId="0" fontId="9" numFmtId="0" xfId="0" applyBorder="1" applyFont="1"/>
    <xf borderId="4" fillId="0" fontId="9" numFmtId="0" xfId="0" applyBorder="1" applyFont="1"/>
    <xf borderId="1" fillId="6" fontId="4" numFmtId="0" xfId="0" applyBorder="1" applyFont="1"/>
    <xf borderId="1" fillId="6" fontId="4" numFmtId="0" xfId="0" applyAlignment="1" applyBorder="1" applyFont="1">
      <alignment horizontal="center"/>
    </xf>
    <xf borderId="2" fillId="7" fontId="1" numFmtId="0" xfId="0" applyAlignment="1" applyBorder="1" applyFill="1" applyFont="1">
      <alignment horizontal="center" vertical="center"/>
    </xf>
    <xf borderId="1" fillId="7" fontId="1" numFmtId="0" xfId="0" applyBorder="1" applyFont="1"/>
    <xf borderId="1" fillId="7" fontId="1" numFmtId="0" xfId="0" applyAlignment="1" applyBorder="1" applyFont="1">
      <alignment horizontal="center"/>
    </xf>
    <xf borderId="1" fillId="7" fontId="4" numFmtId="0" xfId="0" applyBorder="1" applyFont="1"/>
    <xf borderId="1" fillId="7" fontId="4" numFmtId="0" xfId="0" applyAlignment="1" applyBorder="1" applyFont="1">
      <alignment horizontal="center"/>
    </xf>
    <xf borderId="2" fillId="8" fontId="1" numFmtId="0" xfId="0" applyAlignment="1" applyBorder="1" applyFill="1" applyFont="1">
      <alignment horizontal="center" vertical="center"/>
    </xf>
    <xf borderId="1" fillId="8" fontId="1" numFmtId="0" xfId="0" applyBorder="1" applyFont="1"/>
    <xf borderId="1" fillId="8" fontId="1" numFmtId="0" xfId="0" applyAlignment="1" applyBorder="1" applyFont="1">
      <alignment horizontal="center"/>
    </xf>
    <xf borderId="1" fillId="8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/>
    </xf>
    <xf borderId="1" fillId="0" fontId="4" numFmtId="0" xfId="0" applyBorder="1" applyFont="1"/>
    <xf borderId="1" fillId="0" fontId="4" numFmtId="0" xfId="0" applyAlignment="1" applyBorder="1" applyFont="1">
      <alignment horizontal="center"/>
    </xf>
    <xf borderId="0" fillId="0" fontId="4" numFmtId="0" xfId="0" applyAlignment="1" applyFont="1">
      <alignment readingOrder="0"/>
    </xf>
    <xf borderId="0" fillId="0" fontId="10" numFmtId="0" xfId="0" applyAlignment="1" applyFont="1">
      <alignment readingOrder="0"/>
    </xf>
    <xf borderId="5" fillId="2" fontId="5" numFmtId="0" xfId="0" applyAlignment="1" applyBorder="1" applyFont="1">
      <alignment horizontal="center"/>
    </xf>
    <xf borderId="1" fillId="0" fontId="11" numFmtId="0" xfId="0" applyAlignment="1" applyBorder="1" applyFont="1">
      <alignment horizontal="center"/>
    </xf>
    <xf borderId="0" fillId="0" fontId="1" numFmtId="0" xfId="0" applyFont="1"/>
    <xf borderId="1" fillId="9" fontId="1" numFmtId="0" xfId="0" applyBorder="1" applyFill="1" applyFont="1"/>
    <xf borderId="1" fillId="9" fontId="1" numFmtId="0" xfId="0" applyAlignment="1" applyBorder="1" applyFont="1">
      <alignment horizontal="center"/>
    </xf>
    <xf borderId="1" fillId="3" fontId="1" numFmtId="0" xfId="0" applyBorder="1" applyFont="1"/>
    <xf borderId="1" fillId="3" fontId="1" numFmtId="0" xfId="0" applyAlignment="1" applyBorder="1" applyFont="1">
      <alignment horizontal="center"/>
    </xf>
    <xf borderId="1" fillId="6" fontId="1" numFmtId="0" xfId="0" applyAlignment="1" applyBorder="1" applyFont="1">
      <alignment horizontal="center"/>
    </xf>
    <xf borderId="1" fillId="0" fontId="12" numFmtId="0" xfId="0" applyAlignment="1" applyBorder="1" applyFont="1">
      <alignment readingOrder="0"/>
    </xf>
    <xf borderId="6" fillId="2" fontId="5" numFmtId="0" xfId="0" applyAlignment="1" applyBorder="1" applyFont="1">
      <alignment horizontal="center"/>
    </xf>
    <xf borderId="7" fillId="2" fontId="11" numFmtId="0" xfId="0" applyAlignment="1" applyBorder="1" applyFont="1">
      <alignment horizontal="center"/>
    </xf>
    <xf borderId="1" fillId="5" fontId="1" numFmtId="0" xfId="0" applyBorder="1" applyFont="1"/>
    <xf borderId="8" fillId="5" fontId="11" numFmtId="0" xfId="0" applyBorder="1" applyFont="1"/>
    <xf borderId="0" fillId="0" fontId="5" numFmtId="0" xfId="0" applyAlignment="1" applyFont="1">
      <alignment horizontal="center"/>
    </xf>
    <xf borderId="1" fillId="4" fontId="1" numFmtId="0" xfId="0" applyBorder="1" applyFont="1"/>
    <xf borderId="8" fillId="4" fontId="11" numFmtId="0" xfId="0" applyBorder="1" applyFont="1"/>
    <xf borderId="0" fillId="0" fontId="4" numFmtId="0" xfId="0" applyFont="1"/>
    <xf borderId="8" fillId="6" fontId="11" numFmtId="0" xfId="0" applyBorder="1" applyFont="1"/>
    <xf borderId="1" fillId="0" fontId="11" numFmtId="0" xfId="0" applyBorder="1" applyFont="1"/>
    <xf borderId="8" fillId="0" fontId="11" numFmtId="0" xfId="0" applyBorder="1" applyFont="1"/>
    <xf borderId="1" fillId="2" fontId="11" numFmtId="0" xfId="0" applyAlignment="1" applyBorder="1" applyFont="1">
      <alignment horizontal="center"/>
    </xf>
    <xf borderId="1" fillId="9" fontId="11" numFmtId="0" xfId="0" applyBorder="1" applyFont="1"/>
    <xf borderId="1" fillId="3" fontId="11" numFmtId="0" xfId="0" applyBorder="1" applyFont="1"/>
    <xf borderId="1" fillId="6" fontId="11" numFmtId="0" xfId="0" applyBorder="1" applyFont="1"/>
    <xf borderId="1" fillId="2" fontId="5" numFmtId="0" xfId="0" applyAlignment="1" applyBorder="1" applyFont="1">
      <alignment horizontal="center" readingOrder="0"/>
    </xf>
    <xf borderId="2" fillId="9" fontId="8" numFmtId="0" xfId="0" applyAlignment="1" applyBorder="1" applyFont="1">
      <alignment horizontal="center" shrinkToFit="0" vertical="center" wrapText="0"/>
    </xf>
    <xf borderId="1" fillId="5" fontId="4" numFmtId="0" xfId="0" applyAlignment="1" applyBorder="1" applyFont="1">
      <alignment horizontal="center"/>
    </xf>
    <xf borderId="2" fillId="3" fontId="8" numFmtId="0" xfId="0" applyAlignment="1" applyBorder="1" applyFont="1">
      <alignment horizontal="center" shrinkToFit="0" vertical="center" wrapText="0"/>
    </xf>
    <xf borderId="2" fillId="6" fontId="8" numFmtId="0" xfId="0" applyAlignment="1" applyBorder="1" applyFont="1">
      <alignment horizontal="center" shrinkToFit="0" vertical="center" wrapText="0"/>
    </xf>
    <xf borderId="1" fillId="9" fontId="4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0" fillId="10" fontId="13" numFmtId="0" xfId="0" applyAlignment="1" applyFill="1" applyFont="1">
      <alignment horizontal="left" readingOrder="0"/>
    </xf>
    <xf borderId="0" fillId="10" fontId="14" numFmtId="0" xfId="0" applyAlignment="1" applyFont="1">
      <alignment readingOrder="0"/>
    </xf>
    <xf borderId="0" fillId="10" fontId="13" numFmtId="0" xfId="0" applyAlignment="1" applyFont="1">
      <alignment horizontal="left"/>
    </xf>
    <xf borderId="0" fillId="0" fontId="15" numFmtId="0" xfId="0" applyAlignment="1" applyFont="1">
      <alignment readingOrder="0"/>
    </xf>
    <xf borderId="0" fillId="11" fontId="1" numFmtId="0" xfId="0" applyFill="1" applyFont="1"/>
    <xf borderId="0" fillId="0" fontId="1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l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FF"/>
                </a:solidFill>
                <a:latin typeface="+mn-lt"/>
              </a:defRPr>
            </a:pPr>
            <a:r>
              <a:rPr b="0">
                <a:solidFill>
                  <a:srgbClr val="0000FF"/>
                </a:solidFill>
                <a:latin typeface="+mn-lt"/>
              </a:rPr>
              <a:t>Species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preguntas!$B$8</c:f>
            </c:strRef>
          </c:tx>
          <c:dPt>
            <c:idx val="0"/>
            <c:explosion val="0"/>
            <c:spPr>
              <a:solidFill>
                <a:srgbClr val="EA9999"/>
              </a:solidFill>
            </c:spPr>
          </c:dPt>
          <c:dPt>
            <c:idx val="1"/>
            <c:spPr>
              <a:solidFill>
                <a:srgbClr val="A4C2F4"/>
              </a:solidFill>
            </c:spPr>
          </c:dPt>
          <c:dPt>
            <c:idx val="2"/>
            <c:spPr>
              <a:solidFill>
                <a:srgbClr val="B4A7D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preguntas!$A$9:$A$11</c:f>
            </c:strRef>
          </c:cat>
          <c:val>
            <c:numRef>
              <c:f>preguntas!$B$9:$B$11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FF"/>
                </a:solidFill>
                <a:latin typeface="+mn-lt"/>
              </a:defRPr>
            </a:pPr>
            <a:r>
              <a:rPr b="0">
                <a:solidFill>
                  <a:srgbClr val="0000FF"/>
                </a:solidFill>
                <a:latin typeface="+mn-lt"/>
              </a:rPr>
              <a:t>Especies-Estudio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preguntas!$E$8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preguntas!$D$9:$D$11</c:f>
            </c:strRef>
          </c:cat>
          <c:val>
            <c:numRef>
              <c:f>preguntas!$E$9:$E$11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FF"/>
                </a:solidFill>
                <a:latin typeface="+mn-lt"/>
              </a:defRPr>
            </a:pPr>
            <a:r>
              <a:rPr b="0">
                <a:solidFill>
                  <a:srgbClr val="0000FF"/>
                </a:solidFill>
                <a:latin typeface="+mn-lt"/>
              </a:rPr>
              <a:t>Adelie , Chinstrap y Gentoo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preguntas!$E$8</c:f>
            </c:strRef>
          </c:tx>
          <c:spPr>
            <a:solidFill>
              <a:srgbClr val="9FC5E8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preguntas!$D$9:$D$11</c:f>
            </c:strRef>
          </c:cat>
          <c:val>
            <c:numRef>
              <c:f>preguntas!$E$9:$E$11</c:f>
              <c:numCache/>
            </c:numRef>
          </c:val>
        </c:ser>
        <c:ser>
          <c:idx val="1"/>
          <c:order val="1"/>
          <c:tx>
            <c:strRef>
              <c:f>preguntas!$F$8</c:f>
            </c:strRef>
          </c:tx>
          <c:spPr>
            <a:solidFill>
              <a:srgbClr val="EA99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A4C2F4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A4C2F4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A4C2F4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preguntas!$D$9:$D$11</c:f>
            </c:strRef>
          </c:cat>
          <c:val>
            <c:numRef>
              <c:f>preguntas!$F$9:$F$11</c:f>
              <c:numCache/>
            </c:numRef>
          </c:val>
        </c:ser>
        <c:ser>
          <c:idx val="2"/>
          <c:order val="2"/>
          <c:tx>
            <c:strRef>
              <c:f>preguntas!$G$8</c:f>
            </c:strRef>
          </c:tx>
          <c:spPr>
            <a:solidFill>
              <a:srgbClr val="B4A7D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B4A7D6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B4A7D6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B4A7D6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preguntas!$D$9:$D$11</c:f>
            </c:strRef>
          </c:cat>
          <c:val>
            <c:numRef>
              <c:f>preguntas!$G$9:$G$11</c:f>
              <c:numCache/>
            </c:numRef>
          </c:val>
        </c:ser>
        <c:axId val="103160789"/>
        <c:axId val="283807927"/>
      </c:barChart>
      <c:catAx>
        <c:axId val="1031607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studyName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3807927"/>
      </c:catAx>
      <c:valAx>
        <c:axId val="2838079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160789"/>
      </c:valAx>
    </c:plotArea>
    <c:legend>
      <c:legendPos val="r"/>
      <c:legendEntry>
        <c:idx val="0"/>
        <c:txPr>
          <a:bodyPr/>
          <a:lstStyle/>
          <a:p>
            <a:pPr lvl="0">
              <a:defRPr>
                <a:latin typeface="Arial"/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1155CC"/>
                </a:solidFill>
                <a:latin typeface="+mn-lt"/>
              </a:defRPr>
            </a:pPr>
            <a:r>
              <a:rPr b="0">
                <a:solidFill>
                  <a:srgbClr val="1155CC"/>
                </a:solidFill>
                <a:latin typeface="+mn-lt"/>
              </a:rPr>
              <a:t>LONG PICO y PROF PICO (media)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preguntas!$B$124:$B$125</c:f>
            </c:strRef>
          </c:tx>
          <c:spPr>
            <a:solidFill>
              <a:srgbClr val="A4C2F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200">
                    <a:latin typeface="Roboto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preguntas!$A$126:$A$128</c:f>
            </c:strRef>
          </c:cat>
          <c:val>
            <c:numRef>
              <c:f>preguntas!$B$126:$B$128</c:f>
              <c:numCache/>
            </c:numRef>
          </c:val>
        </c:ser>
        <c:ser>
          <c:idx val="1"/>
          <c:order val="1"/>
          <c:tx>
            <c:strRef>
              <c:f>preguntas!$C$124:$C$125</c:f>
            </c:strRef>
          </c:tx>
          <c:spPr>
            <a:solidFill>
              <a:srgbClr val="E6B8A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200">
                    <a:latin typeface="Roboto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preguntas!$A$126:$A$128</c:f>
            </c:strRef>
          </c:cat>
          <c:val>
            <c:numRef>
              <c:f>preguntas!$C$126:$C$128</c:f>
              <c:numCache/>
            </c:numRef>
          </c:val>
        </c:ser>
        <c:axId val="1693962277"/>
        <c:axId val="1664289761"/>
      </c:bar3DChart>
      <c:catAx>
        <c:axId val="169396227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Species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4289761"/>
      </c:catAx>
      <c:valAx>
        <c:axId val="166428976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69396227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1155CC"/>
                </a:solidFill>
                <a:latin typeface="+mn-lt"/>
              </a:defRPr>
            </a:pPr>
            <a:r>
              <a:rPr b="0">
                <a:solidFill>
                  <a:srgbClr val="1155CC"/>
                </a:solidFill>
                <a:latin typeface="+mn-lt"/>
              </a:rPr>
              <a:t>ALETA y MASA CORP (media)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preguntas!$D$124:$D$125</c:f>
            </c:strRef>
          </c:tx>
          <c:spPr>
            <a:solidFill>
              <a:srgbClr val="A4C2F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00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preguntas!$A$126:$A$128</c:f>
            </c:strRef>
          </c:cat>
          <c:val>
            <c:numRef>
              <c:f>preguntas!$D$126:$D$128</c:f>
              <c:numCache/>
            </c:numRef>
          </c:val>
        </c:ser>
        <c:ser>
          <c:idx val="1"/>
          <c:order val="1"/>
          <c:tx>
            <c:strRef>
              <c:f>preguntas!$E$124:$E$125</c:f>
            </c:strRef>
          </c:tx>
          <c:spPr>
            <a:solidFill>
              <a:srgbClr val="E6B8A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00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preguntas!$A$126:$A$128</c:f>
            </c:strRef>
          </c:cat>
          <c:val>
            <c:numRef>
              <c:f>preguntas!$E$126:$E$128</c:f>
              <c:numCache/>
            </c:numRef>
          </c:val>
        </c:ser>
        <c:axId val="570609598"/>
        <c:axId val="1131908471"/>
      </c:bar3DChart>
      <c:catAx>
        <c:axId val="57060959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Species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1908471"/>
      </c:catAx>
      <c:valAx>
        <c:axId val="113190847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060959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FF"/>
                </a:solidFill>
                <a:latin typeface="+mn-lt"/>
              </a:defRPr>
            </a:pPr>
            <a:r>
              <a:rPr b="0">
                <a:solidFill>
                  <a:srgbClr val="0000FF"/>
                </a:solidFill>
                <a:latin typeface="+mn-lt"/>
              </a:rPr>
              <a:t>Ocupación por isla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preguntas!$A$57</c:f>
            </c:strRef>
          </c:tx>
          <c:dPt>
            <c:idx val="0"/>
            <c:spPr>
              <a:solidFill>
                <a:srgbClr val="4F81B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preguntas!$B$56:$D$56</c:f>
            </c:strRef>
          </c:cat>
          <c:val>
            <c:numRef>
              <c:f>preguntas!$B$57:$D$57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FF"/>
                </a:solidFill>
                <a:latin typeface="+mn-lt"/>
              </a:defRPr>
            </a:pPr>
            <a:r>
              <a:rPr b="1">
                <a:solidFill>
                  <a:srgbClr val="0000FF"/>
                </a:solidFill>
                <a:latin typeface="+mn-lt"/>
              </a:rPr>
              <a:t>Sexo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preguntas!$A$78</c:f>
            </c:strRef>
          </c:tx>
          <c:dPt>
            <c:idx val="0"/>
            <c:spPr>
              <a:solidFill>
                <a:srgbClr val="9FC5E8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preguntas!$B$77:$C$77</c:f>
            </c:strRef>
          </c:cat>
          <c:val>
            <c:numRef>
              <c:f>preguntas!$B$78:$C$78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FF"/>
                </a:solidFill>
                <a:latin typeface="+mn-lt"/>
              </a:defRPr>
            </a:pPr>
            <a:r>
              <a:rPr b="1">
                <a:solidFill>
                  <a:srgbClr val="0000FF"/>
                </a:solidFill>
                <a:latin typeface="+mn-lt"/>
              </a:rPr>
              <a:t>Sexo-Especies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stacked"/>
        <c:ser>
          <c:idx val="0"/>
          <c:order val="0"/>
          <c:tx>
            <c:strRef>
              <c:f>preguntas!$B$81</c:f>
            </c:strRef>
          </c:tx>
          <c:spPr>
            <a:solidFill>
              <a:srgbClr val="9FC5E8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preguntas!$A$82:$A$84</c:f>
            </c:strRef>
          </c:cat>
          <c:val>
            <c:numRef>
              <c:f>preguntas!$B$82:$B$84</c:f>
              <c:numCache/>
            </c:numRef>
          </c:val>
        </c:ser>
        <c:ser>
          <c:idx val="1"/>
          <c:order val="1"/>
          <c:tx>
            <c:strRef>
              <c:f>preguntas!$C$81</c:f>
            </c:strRef>
          </c:tx>
          <c:spPr>
            <a:solidFill>
              <a:srgbClr val="D5A6BD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D5A6BD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preguntas!$A$82:$A$84</c:f>
            </c:strRef>
          </c:cat>
          <c:val>
            <c:numRef>
              <c:f>preguntas!$C$82:$C$84</c:f>
              <c:numCache/>
            </c:numRef>
          </c:val>
        </c:ser>
        <c:ser>
          <c:idx val="2"/>
          <c:order val="2"/>
          <c:tx>
            <c:strRef>
              <c:f>preguntas!$D$81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preguntas!$A$82:$A$84</c:f>
            </c:strRef>
          </c:cat>
          <c:val>
            <c:numRef>
              <c:f>preguntas!$D$82:$D$84</c:f>
              <c:numCache/>
            </c:numRef>
          </c:val>
        </c:ser>
        <c:axId val="150816266"/>
        <c:axId val="20993241"/>
      </c:bar3DChart>
      <c:catAx>
        <c:axId val="1508162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Species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93241"/>
      </c:catAx>
      <c:valAx>
        <c:axId val="209932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8162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FF"/>
                </a:solidFill>
                <a:latin typeface="+mn-lt"/>
              </a:defRPr>
            </a:pPr>
            <a:r>
              <a:rPr b="0">
                <a:solidFill>
                  <a:srgbClr val="0000FF"/>
                </a:solidFill>
                <a:latin typeface="+mn-lt"/>
              </a:rPr>
              <a:t>Pingüinos- Sexo-Isla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percentStacked"/>
        <c:ser>
          <c:idx val="0"/>
          <c:order val="0"/>
          <c:tx>
            <c:strRef>
              <c:f>'Hoja 8'!$W$5</c:f>
            </c:strRef>
          </c:tx>
          <c:spPr>
            <a:solidFill>
              <a:srgbClr val="6D9EEB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'Hoja 8'!$V$6:$V$10</c:f>
            </c:strRef>
          </c:cat>
          <c:val>
            <c:numRef>
              <c:f>'Hoja 8'!$W$6:$W$10</c:f>
              <c:numCache/>
            </c:numRef>
          </c:val>
        </c:ser>
        <c:ser>
          <c:idx val="1"/>
          <c:order val="1"/>
          <c:tx>
            <c:strRef>
              <c:f>'Hoja 8'!$X$5</c:f>
            </c:strRef>
          </c:tx>
          <c:spPr>
            <a:solidFill>
              <a:srgbClr val="D5A6BD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'Hoja 8'!$V$6:$V$10</c:f>
            </c:strRef>
          </c:cat>
          <c:val>
            <c:numRef>
              <c:f>'Hoja 8'!$X$6:$X$10</c:f>
              <c:numCache/>
            </c:numRef>
          </c:val>
        </c:ser>
        <c:ser>
          <c:idx val="2"/>
          <c:order val="2"/>
          <c:tx>
            <c:strRef>
              <c:f>'Hoja 8'!$Y$5</c:f>
            </c:strRef>
          </c:tx>
          <c:spPr>
            <a:solidFill>
              <a:srgbClr val="F9CB9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  <a:latin typeface="Roboto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'Hoja 8'!$V$6:$V$10</c:f>
            </c:strRef>
          </c:cat>
          <c:val>
            <c:numRef>
              <c:f>'Hoja 8'!$Y$6:$Y$10</c:f>
              <c:numCache/>
            </c:numRef>
          </c:val>
        </c:ser>
        <c:ser>
          <c:idx val="3"/>
          <c:order val="3"/>
          <c:tx>
            <c:strRef>
              <c:f>'Hoja 8'!$Z$5</c:f>
            </c:strRef>
          </c:tx>
          <c:cat>
            <c:strRef>
              <c:f>'Hoja 8'!$V$6:$V$10</c:f>
            </c:strRef>
          </c:cat>
          <c:val>
            <c:numRef>
              <c:f>'Hoja 8'!$Z$6:$Z$10</c:f>
              <c:numCache/>
            </c:numRef>
          </c:val>
        </c:ser>
        <c:axId val="1358013906"/>
        <c:axId val="228532657"/>
      </c:bar3DChart>
      <c:catAx>
        <c:axId val="13580139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8532657"/>
      </c:catAx>
      <c:valAx>
        <c:axId val="2285326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80139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FF"/>
                </a:solidFill>
                <a:latin typeface="+mn-lt"/>
              </a:defRPr>
            </a:pPr>
            <a:r>
              <a:rPr b="0">
                <a:solidFill>
                  <a:srgbClr val="0000FF"/>
                </a:solidFill>
                <a:latin typeface="+mn-lt"/>
              </a:rPr>
              <a:t>Pingüinos-Sexo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stacked"/>
        <c:ser>
          <c:idx val="0"/>
          <c:order val="0"/>
          <c:tx>
            <c:strRef>
              <c:f>'Hoja 8'!$P$4:$P$5</c:f>
            </c:strRef>
          </c:tx>
          <c:spPr>
            <a:solidFill>
              <a:srgbClr val="6D9EEB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'Hoja 8'!$O$6:$O$8</c:f>
            </c:strRef>
          </c:cat>
          <c:val>
            <c:numRef>
              <c:f>'Hoja 8'!$P$6:$P$8</c:f>
              <c:numCache/>
            </c:numRef>
          </c:val>
        </c:ser>
        <c:ser>
          <c:idx val="1"/>
          <c:order val="1"/>
          <c:tx>
            <c:strRef>
              <c:f>'Hoja 8'!$Q$4:$Q$5</c:f>
            </c:strRef>
          </c:tx>
          <c:spPr>
            <a:solidFill>
              <a:srgbClr val="D5A6BD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'Hoja 8'!$O$6:$O$8</c:f>
            </c:strRef>
          </c:cat>
          <c:val>
            <c:numRef>
              <c:f>'Hoja 8'!$Q$6:$Q$8</c:f>
              <c:numCache/>
            </c:numRef>
          </c:val>
        </c:ser>
        <c:ser>
          <c:idx val="2"/>
          <c:order val="2"/>
          <c:tx>
            <c:strRef>
              <c:f>'Hoja 8'!$R$4:$R$5</c:f>
            </c:strRef>
          </c:tx>
          <c:spPr>
            <a:solidFill>
              <a:srgbClr val="F9CB9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'Hoja 8'!$O$6:$O$8</c:f>
            </c:strRef>
          </c:cat>
          <c:val>
            <c:numRef>
              <c:f>'Hoja 8'!$R$6:$R$8</c:f>
              <c:numCache/>
            </c:numRef>
          </c:val>
        </c:ser>
        <c:axId val="1837960835"/>
        <c:axId val="683587382"/>
      </c:bar3DChart>
      <c:catAx>
        <c:axId val="183796083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Species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3587382"/>
      </c:catAx>
      <c:valAx>
        <c:axId val="68358738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796083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FF"/>
                </a:solidFill>
                <a:latin typeface="+mn-lt"/>
              </a:defRPr>
            </a:pPr>
            <a:r>
              <a:rPr b="0">
                <a:solidFill>
                  <a:srgbClr val="0000FF"/>
                </a:solidFill>
                <a:latin typeface="+mn-lt"/>
              </a:rPr>
              <a:t>Pingüinos- Sexo-Isla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percentStacked"/>
        <c:ser>
          <c:idx val="0"/>
          <c:order val="0"/>
          <c:tx>
            <c:strRef>
              <c:f>'Hoja 8'!$W$5</c:f>
            </c:strRef>
          </c:tx>
          <c:spPr>
            <a:solidFill>
              <a:srgbClr val="6D9EEB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'Hoja 8'!$V$6:$V$10</c:f>
            </c:strRef>
          </c:cat>
          <c:val>
            <c:numRef>
              <c:f>'Hoja 8'!$W$6:$W$10</c:f>
              <c:numCache/>
            </c:numRef>
          </c:val>
        </c:ser>
        <c:ser>
          <c:idx val="1"/>
          <c:order val="1"/>
          <c:tx>
            <c:strRef>
              <c:f>'Hoja 8'!$X$5</c:f>
            </c:strRef>
          </c:tx>
          <c:spPr>
            <a:solidFill>
              <a:srgbClr val="D5A6BD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'Hoja 8'!$V$6:$V$10</c:f>
            </c:strRef>
          </c:cat>
          <c:val>
            <c:numRef>
              <c:f>'Hoja 8'!$X$6:$X$10</c:f>
              <c:numCache/>
            </c:numRef>
          </c:val>
        </c:ser>
        <c:ser>
          <c:idx val="2"/>
          <c:order val="2"/>
          <c:tx>
            <c:strRef>
              <c:f>'Hoja 8'!$Y$5</c:f>
            </c:strRef>
          </c:tx>
          <c:spPr>
            <a:solidFill>
              <a:srgbClr val="F9CB9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  <a:latin typeface="Roboto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'Hoja 8'!$V$6:$V$10</c:f>
            </c:strRef>
          </c:cat>
          <c:val>
            <c:numRef>
              <c:f>'Hoja 8'!$Y$6:$Y$10</c:f>
              <c:numCache/>
            </c:numRef>
          </c:val>
        </c:ser>
        <c:ser>
          <c:idx val="3"/>
          <c:order val="3"/>
          <c:tx>
            <c:strRef>
              <c:f>'Hoja 8'!$Z$5</c:f>
            </c:strRef>
          </c:tx>
          <c:cat>
            <c:strRef>
              <c:f>'Hoja 8'!$V$6:$V$10</c:f>
            </c:strRef>
          </c:cat>
          <c:val>
            <c:numRef>
              <c:f>'Hoja 8'!$Z$6:$Z$10</c:f>
              <c:numCache/>
            </c:numRef>
          </c:val>
        </c:ser>
        <c:axId val="610731284"/>
        <c:axId val="1318534570"/>
      </c:bar3DChart>
      <c:catAx>
        <c:axId val="6107312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8534570"/>
      </c:catAx>
      <c:valAx>
        <c:axId val="13185345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07312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Chart4.png"/><Relationship Id="rId11" Type="http://schemas.openxmlformats.org/officeDocument/2006/relationships/chart" Target="../charts/chart9.xml"/><Relationship Id="rId10" Type="http://schemas.openxmlformats.org/officeDocument/2006/relationships/chart" Target="../charts/chart8.xml"/><Relationship Id="rId9" Type="http://schemas.openxmlformats.org/officeDocument/2006/relationships/chart" Target="../charts/chart7.xml"/><Relationship Id="rId5" Type="http://schemas.openxmlformats.org/officeDocument/2006/relationships/image" Target="../media/Chart5.png"/><Relationship Id="rId6" Type="http://schemas.openxmlformats.org/officeDocument/2006/relationships/chart" Target="../charts/chart4.xml"/><Relationship Id="rId7" Type="http://schemas.openxmlformats.org/officeDocument/2006/relationships/chart" Target="../charts/chart5.xml"/><Relationship Id="rId8" Type="http://schemas.openxmlformats.org/officeDocument/2006/relationships/chart" Target="../charts/chart6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14</xdr:row>
      <xdr:rowOff>85725</xdr:rowOff>
    </xdr:from>
    <xdr:ext cx="2333625" cy="14478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85725</xdr:colOff>
      <xdr:row>13</xdr:row>
      <xdr:rowOff>180975</xdr:rowOff>
    </xdr:from>
    <xdr:ext cx="2952750" cy="18383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400050</xdr:colOff>
      <xdr:row>13</xdr:row>
      <xdr:rowOff>57150</xdr:rowOff>
    </xdr:from>
    <xdr:ext cx="3914775" cy="241935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161925</xdr:colOff>
      <xdr:row>36</xdr:row>
      <xdr:rowOff>0</xdr:rowOff>
    </xdr:from>
    <xdr:ext cx="4057650" cy="2486025"/>
    <xdr:pic>
      <xdr:nvPicPr>
        <xdr:cNvPr id="1872958949" name="Chart4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600075</xdr:colOff>
      <xdr:row>36</xdr:row>
      <xdr:rowOff>38100</xdr:rowOff>
    </xdr:from>
    <xdr:ext cx="4095750" cy="2486025"/>
    <xdr:pic>
      <xdr:nvPicPr>
        <xdr:cNvPr id="1329889398" name="Chart5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304800</xdr:colOff>
      <xdr:row>120</xdr:row>
      <xdr:rowOff>114300</xdr:rowOff>
    </xdr:from>
    <xdr:ext cx="3657600" cy="2152650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9</xdr:col>
      <xdr:colOff>504825</xdr:colOff>
      <xdr:row>120</xdr:row>
      <xdr:rowOff>114300</xdr:rowOff>
    </xdr:from>
    <xdr:ext cx="3829050" cy="22002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6</xdr:col>
      <xdr:colOff>571500</xdr:colOff>
      <xdr:row>36</xdr:row>
      <xdr:rowOff>38100</xdr:rowOff>
    </xdr:from>
    <xdr:ext cx="3114675" cy="2419350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5</xdr:col>
      <xdr:colOff>447675</xdr:colOff>
      <xdr:row>79</xdr:row>
      <xdr:rowOff>180975</xdr:rowOff>
    </xdr:from>
    <xdr:ext cx="3219450" cy="1990725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9</xdr:col>
      <xdr:colOff>0</xdr:colOff>
      <xdr:row>77</xdr:row>
      <xdr:rowOff>190500</xdr:rowOff>
    </xdr:from>
    <xdr:ext cx="4162425" cy="2581275"/>
    <xdr:graphicFrame>
      <xdr:nvGraphicFramePr>
        <xdr:cNvPr id="1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6</xdr:col>
      <xdr:colOff>733425</xdr:colOff>
      <xdr:row>93</xdr:row>
      <xdr:rowOff>190500</xdr:rowOff>
    </xdr:from>
    <xdr:ext cx="5715000" cy="3533775"/>
    <xdr:graphicFrame>
      <xdr:nvGraphicFramePr>
        <xdr:cNvPr id="11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838200</xdr:colOff>
      <xdr:row>10</xdr:row>
      <xdr:rowOff>28575</xdr:rowOff>
    </xdr:from>
    <xdr:ext cx="5029200" cy="3114675"/>
    <xdr:graphicFrame>
      <xdr:nvGraphicFramePr>
        <xdr:cNvPr id="12" name="Chart 1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21</xdr:col>
      <xdr:colOff>9525</xdr:colOff>
      <xdr:row>11</xdr:row>
      <xdr:rowOff>180975</xdr:rowOff>
    </xdr:from>
    <xdr:ext cx="5715000" cy="3533775"/>
    <xdr:graphicFrame>
      <xdr:nvGraphicFramePr>
        <xdr:cNvPr id="13" name="Chart 1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343" sheet="tabla"/>
  </cacheSource>
  <cacheFields>
    <cacheField name="studyName" numFmtId="0">
      <sharedItems>
        <s v="PAL0708"/>
        <s v="PAL0809"/>
        <s v="PAL0910"/>
      </sharedItems>
    </cacheField>
    <cacheField name="Sample Number" numFmtId="0">
      <sharedItems containsSemiMixedTypes="0" containsString="0" containsNumber="1" containsInteger="1">
        <n v="9.0"/>
        <n v="10.0"/>
        <n v="11.0"/>
        <n v="12.0"/>
        <n v="31.0"/>
        <n v="32.0"/>
        <n v="33.0"/>
        <n v="34.0"/>
        <n v="25.0"/>
        <n v="26.0"/>
        <n v="29.0"/>
        <n v="30.0"/>
        <n v="1.0"/>
        <n v="2.0"/>
        <n v="17.0"/>
        <n v="18.0"/>
        <n v="21.0"/>
        <n v="22.0"/>
        <n v="23.0"/>
        <n v="24.0"/>
        <n v="27.0"/>
        <n v="28.0"/>
        <n v="39.0"/>
        <n v="40.0"/>
        <n v="47.0"/>
        <n v="48.0"/>
        <n v="49.0"/>
        <n v="50.0"/>
        <n v="7.0"/>
        <n v="8.0"/>
        <n v="13.0"/>
        <n v="14.0"/>
        <n v="3.0"/>
        <n v="5.0"/>
        <n v="6.0"/>
        <n v="15.0"/>
        <n v="16.0"/>
        <n v="19.0"/>
        <n v="20.0"/>
        <n v="35.0"/>
        <n v="36.0"/>
        <n v="37.0"/>
        <n v="38.0"/>
        <n v="41.0"/>
        <n v="42.0"/>
        <n v="45.0"/>
        <n v="46.0"/>
        <n v="43.0"/>
        <n v="44.0"/>
        <n v="4.0"/>
        <n v="81.0"/>
        <n v="82.0"/>
        <n v="57.0"/>
        <n v="58.0"/>
        <n v="61.0"/>
        <n v="62.0"/>
        <n v="71.0"/>
        <n v="72.0"/>
        <n v="51.0"/>
        <n v="52.0"/>
        <n v="53.0"/>
        <n v="54.0"/>
        <n v="55.0"/>
        <n v="56.0"/>
        <n v="65.0"/>
        <n v="66.0"/>
        <n v="93.0"/>
        <n v="94.0"/>
        <n v="67.0"/>
        <n v="68.0"/>
        <n v="77.0"/>
        <n v="78.0"/>
        <n v="59.0"/>
        <n v="60.0"/>
        <n v="75.0"/>
        <n v="76.0"/>
        <n v="83.0"/>
        <n v="84.0"/>
        <n v="87.0"/>
        <n v="88.0"/>
        <n v="89.0"/>
        <n v="90.0"/>
        <n v="97.0"/>
        <n v="98.0"/>
        <n v="79.0"/>
        <n v="80.0"/>
        <n v="73.0"/>
        <n v="74.0"/>
        <n v="99.0"/>
        <n v="100.0"/>
        <n v="69.0"/>
        <n v="70.0"/>
        <n v="63.0"/>
        <n v="64.0"/>
        <n v="91.0"/>
        <n v="92.0"/>
        <n v="85.0"/>
        <n v="86.0"/>
        <n v="95.0"/>
        <n v="96.0"/>
        <n v="101.0"/>
        <n v="102.0"/>
        <n v="109.0"/>
        <n v="110.0"/>
        <n v="133.0"/>
        <n v="134.0"/>
        <n v="107.0"/>
        <n v="108.0"/>
        <n v="111.0"/>
        <n v="112.0"/>
        <n v="135.0"/>
        <n v="136.0"/>
        <n v="147.0"/>
        <n v="148.0"/>
        <n v="141.0"/>
        <n v="142.0"/>
        <n v="103.0"/>
        <n v="104.0"/>
        <n v="105.0"/>
        <n v="106.0"/>
        <n v="113.0"/>
        <n v="114.0"/>
        <n v="123.0"/>
        <n v="124.0"/>
        <n v="137.0"/>
        <n v="138.0"/>
        <n v="139.0"/>
        <n v="140.0"/>
        <n v="143.0"/>
        <n v="144.0"/>
        <n v="145.0"/>
        <n v="146.0"/>
        <n v="115.0"/>
        <n v="116.0"/>
        <n v="121.0"/>
        <n v="122.0"/>
        <n v="149.0"/>
        <n v="150.0"/>
        <n v="151.0"/>
        <n v="152.0"/>
        <n v="117.0"/>
        <n v="118.0"/>
        <n v="125.0"/>
        <n v="126.0"/>
        <n v="129.0"/>
        <n v="130.0"/>
        <n v="127.0"/>
        <n v="128.0"/>
        <n v="119.0"/>
        <n v="120.0"/>
        <n v="131.0"/>
        <n v="132.0"/>
      </sharedItems>
    </cacheField>
    <cacheField name="Species" numFmtId="0">
      <sharedItems>
        <s v="Adelie "/>
        <s v="Gentoo"/>
        <s v="Chinstrap"/>
      </sharedItems>
    </cacheField>
    <cacheField name="Island" numFmtId="0">
      <sharedItems>
        <s v="Torgersen"/>
        <s v="Dream"/>
        <s v="Biscoe"/>
      </sharedItems>
    </cacheField>
    <cacheField name="Individual ID" numFmtId="0">
      <sharedItems>
        <s v="N5A1"/>
        <s v="N5A2"/>
        <s v="N6A1"/>
        <s v="N6A2"/>
        <s v="N21A1"/>
        <s v="N21A2"/>
        <s v="N22A1"/>
        <s v="N22A2"/>
        <s v="N13A1"/>
        <s v="N13A2"/>
        <s v="N18A1"/>
        <s v="N18A2"/>
        <s v="N1A1"/>
        <s v="N1A2"/>
        <s v="N9A1"/>
        <s v="N9A2"/>
        <s v="N11A1"/>
        <s v="N11A2"/>
        <s v="N12A1"/>
        <s v="N12A2"/>
        <s v="N17A1"/>
        <s v="N17A2"/>
        <s v="N25A1"/>
        <s v="N25A2"/>
        <s v="N29A1"/>
        <s v="N29A2"/>
        <s v="N30A1"/>
        <s v="N30A2"/>
        <s v="N4A1"/>
        <s v="N4A2"/>
        <s v="N7A1"/>
        <s v="N7A2"/>
        <s v="N2A1"/>
        <s v="N3A1"/>
        <s v="N3A2"/>
        <s v="N8A1"/>
        <s v="N8A2"/>
        <s v="N10A1"/>
        <s v="N10A2"/>
        <s v="N23A1"/>
        <s v="N23A2"/>
        <s v="N24A1"/>
        <s v="N24A2"/>
        <s v="N26A1"/>
        <s v="N26A2"/>
        <s v="N28A1"/>
        <s v="N28A2"/>
        <s v="N33A1"/>
        <s v="N33A2"/>
        <s v="N27A1"/>
        <s v="N27A2"/>
        <s v="N61A1"/>
        <s v="N61A2"/>
        <s v="N64A1"/>
        <s v="N64A2"/>
        <s v="N67A1"/>
        <s v="N67A2"/>
        <s v="N70A1"/>
        <s v="N70A2"/>
        <s v="N62A1"/>
        <s v="N62A2"/>
        <s v="N69A1"/>
        <s v="N69A2"/>
        <s v="N31A1"/>
        <s v="N31A2"/>
        <s v="N32A1"/>
        <s v="N32A2"/>
        <s v="N34A1"/>
        <s v="N34A2"/>
        <s v="N35A1"/>
        <s v="N35A2"/>
        <s v="N36A1"/>
        <s v="N36A2"/>
        <s v="N39A1"/>
        <s v="N39A2"/>
        <s v="N40A1"/>
        <s v="N40A2"/>
        <s v="N41A1"/>
        <s v="N41A2"/>
        <s v="N42A1"/>
        <s v="N42A2"/>
        <s v="N66A1"/>
        <s v="N66A2"/>
        <s v="N68A1"/>
        <s v="N68A2"/>
        <s v="N85A1"/>
        <s v="N85A2"/>
        <s v="N89A1"/>
        <s v="N89A2"/>
        <s v="N37A1"/>
        <s v="N37A2"/>
        <s v="N44A1"/>
        <s v="N44A2"/>
        <s v="N46A1"/>
        <s v="N46A2"/>
        <s v="N47A1"/>
        <s v="N47A2"/>
        <s v="N50A1"/>
        <s v="N50A2"/>
        <s v="N71A1"/>
        <s v="N71A2"/>
        <s v="N72A1"/>
        <s v="N72A2"/>
        <s v="N38A1"/>
        <s v="N38A2"/>
        <s v="N56A1"/>
        <s v="N56A2"/>
        <s v="N73A1"/>
        <s v="N73A2"/>
        <s v="N16A1"/>
        <s v="N16A2"/>
        <s v="N54A1"/>
        <s v="N54A2"/>
        <s v="N14A1"/>
        <s v="N14A2"/>
        <s v="N15A1"/>
        <s v="N15A2"/>
        <s v="N20A1"/>
        <s v="N20A2"/>
        <s v="N58A1"/>
        <s v="N58A2"/>
        <s v="N49A1"/>
        <s v="N49A2"/>
        <s v="N51A1"/>
        <s v="N51A2"/>
        <s v="N55A1"/>
        <s v="N55A2"/>
        <s v="N60A1"/>
        <s v="N60A2"/>
        <s v="N2A2"/>
        <s v="N19A1"/>
        <s v="N19A2"/>
        <s v="N53A1"/>
        <s v="N53A2"/>
        <s v="N45A1"/>
        <s v="N45A2"/>
        <s v="N75A1"/>
        <s v="N75A2"/>
        <s v="N48A1"/>
        <s v="N48A2"/>
        <s v="N63A1"/>
        <s v="N63A2"/>
        <s v="N65A1"/>
        <s v="N65A2"/>
        <s v="N74A1"/>
        <s v="N74A2"/>
        <s v="N76A1"/>
        <s v="N76A2"/>
        <s v="N77A1"/>
        <s v="N77A2"/>
        <s v="N83A1"/>
        <s v="N83A2"/>
        <s v="N80A1"/>
        <s v="N80A2"/>
        <s v="N78A1"/>
        <s v="N78A2"/>
        <s v="N79A1"/>
        <s v="N79A2"/>
        <s v="N81A1"/>
        <s v="N81A2"/>
        <s v="N82A1"/>
        <s v="N82A2"/>
        <s v="N84A1"/>
        <s v="N84A2"/>
        <s v="N86A1"/>
        <s v="N86A2"/>
        <s v="N98A1"/>
        <s v="N98A2"/>
        <s v="N90A1"/>
        <s v="N90A2"/>
        <s v="N94A1"/>
        <s v="N94A2"/>
        <s v="N95A1"/>
        <s v="N95A2"/>
        <s v="N99A1"/>
        <s v="N99A2"/>
        <s v="N100A1"/>
        <s v="N100A2"/>
        <s v="N43A1"/>
        <s v="N43A2"/>
        <s v="N88A1"/>
        <s v="N88A2"/>
        <s v="N92A1"/>
        <s v="N92A2"/>
        <s v="N87A1"/>
        <s v="N87A2"/>
        <s v="N93A1"/>
        <s v="N93A2"/>
        <s v="N96A1"/>
        <s v="N96A2"/>
      </sharedItems>
    </cacheField>
    <cacheField name="Clutch Completion" numFmtId="0">
      <sharedItems>
        <s v="Yes"/>
        <s v="No"/>
      </sharedItems>
    </cacheField>
    <cacheField name="Date Egg" numFmtId="0">
      <sharedItems>
        <s v="2007-11-09"/>
        <s v="2007-11-10"/>
        <s v="2007-11-11"/>
        <s v="2007-11-12"/>
        <s v="2007-11-13"/>
        <s v="2007-11-15"/>
        <s v="2007-11-16"/>
        <s v="2007-11-18"/>
        <s v="2007-11-19"/>
        <s v="2007-11-21"/>
        <s v="2007-11-22"/>
        <s v="2007-11-26"/>
        <s v="2007-11-27"/>
        <s v="2007-11-28"/>
        <s v="2007-11-29"/>
        <s v="2007-11-30"/>
        <s v="2007-12-03"/>
        <s v="2008-11-02"/>
        <s v="2008-11-03"/>
        <s v="2008-11-04"/>
        <s v="2008-11-05"/>
        <s v="2008-11-06"/>
        <s v="2008-11-07"/>
        <s v="2008-11-08"/>
        <s v="2008-11-09"/>
        <s v="2008-11-10"/>
        <s v="2008-11-11"/>
        <s v="2008-11-13"/>
        <s v="2008-11-14"/>
        <s v="2008-11-15"/>
        <s v="2008-11-17"/>
        <s v="2008-11-24"/>
        <s v="2008-11-25"/>
        <s v="2009-11-09"/>
        <s v="2009-11-10"/>
        <s v="2009-11-12"/>
        <s v="2009-11-13"/>
        <s v="2009-11-14"/>
        <s v="2009-11-15"/>
        <s v="2009-11-16"/>
        <s v="2009-11-17"/>
        <s v="2009-11-18"/>
        <s v="2009-11-19"/>
        <s v="2009-11-20"/>
        <s v="2009-11-21"/>
        <s v="2009-11-22"/>
        <s v="2009-11-23"/>
        <s v="2009-11-25"/>
        <s v="2009-11-27"/>
        <s v="2009-12-01"/>
      </sharedItems>
    </cacheField>
    <cacheField name="PICO LONG" numFmtId="0">
      <sharedItems containsSemiMixedTypes="0" containsString="0" containsNumber="1">
        <n v="34.1"/>
        <n v="42.0"/>
        <n v="37.8"/>
        <n v="39.5"/>
        <n v="37.2"/>
        <n v="40.9"/>
        <n v="38.8"/>
        <n v="35.3"/>
        <n v="37.9"/>
        <n v="40.5"/>
        <n v="39.1"/>
        <n v="38.7"/>
        <n v="42.5"/>
        <n v="37.7"/>
        <n v="35.9"/>
        <n v="38.2"/>
        <n v="40.6"/>
        <n v="37.6"/>
        <n v="39.8"/>
        <n v="41.1"/>
        <n v="37.5"/>
        <n v="36.0"/>
        <n v="42.3"/>
        <n v="38.9"/>
        <n v="39.2"/>
        <n v="38.6"/>
        <n v="40.3"/>
        <n v="36.7"/>
        <n v="39.3"/>
        <n v="34.6"/>
        <n v="36.6"/>
        <n v="34.4"/>
        <n v="46.0"/>
        <n v="36.4"/>
        <n v="42.2"/>
        <n v="36.5"/>
        <n v="40.8"/>
        <n v="37.0"/>
        <n v="39.6"/>
        <n v="47.6"/>
        <n v="46.5"/>
        <n v="44.1"/>
        <n v="50.0"/>
        <n v="52.7"/>
        <n v="45.2"/>
        <n v="51.3"/>
        <n v="45.9"/>
        <n v="50.5"/>
        <n v="45.4"/>
        <n v="47.0"/>
        <n v="52.0"/>
        <n v="46.1"/>
        <n v="48.7"/>
        <n v="46.7"/>
        <n v="43.3"/>
        <n v="46.8"/>
        <n v="49.0"/>
        <n v="49.2"/>
        <n v="46.2"/>
        <n v="50.2"/>
        <n v="45.1"/>
        <n v="46.3"/>
        <n v="46.6"/>
        <n v="51.7"/>
        <n v="43.2"/>
        <n v="50.6"/>
        <n v="45.5"/>
        <n v="48.4"/>
        <n v="42.9"/>
        <n v="44.5"/>
        <n v="47.8"/>
        <n v="48.2"/>
        <n v="47.3"/>
        <n v="42.8"/>
        <n v="50.3"/>
        <n v="58.0"/>
        <n v="46.4"/>
        <n v="45.8"/>
        <n v="49.3"/>
        <n v="59.6"/>
        <n v="42.4"/>
        <n v="48.5"/>
        <n v="42.6"/>
        <n v="44.4"/>
        <n v="44.9"/>
        <n v="43.6"/>
        <n v="43.8"/>
        <n v="45.3"/>
        <n v="47.7"/>
        <n v="42.7"/>
        <n v="49.6"/>
        <n v="50.1"/>
        <n v="45.0"/>
        <n v="49.8"/>
        <n v="34.0"/>
        <n v="40.1"/>
        <n v="35.5"/>
        <n v="50.4"/>
        <n v="48.6"/>
        <n v="47.5"/>
        <n v="51.1"/>
        <n v="35.1"/>
        <n v="36.3"/>
        <n v="36.9"/>
        <n v="38.3"/>
        <n v="38.1"/>
        <n v="35.0"/>
        <n v="34.5"/>
        <n v="41.4"/>
        <n v="36.2"/>
        <n v="42.1"/>
        <n v="44.0"/>
        <n v="49.5"/>
        <n v="33.1"/>
        <n v="41.8"/>
        <n v="35.7"/>
        <n v="41.3"/>
        <n v="41.6"/>
        <n v="49.1"/>
        <n v="45.7"/>
        <n v="54.3"/>
        <n v="43.5"/>
        <n v="50.7"/>
        <n v="33.5"/>
        <n v="39.7"/>
        <n v="52.8"/>
        <n v="50.9"/>
        <n v="39.0"/>
        <n v="37.3"/>
        <n v="54.2"/>
        <n v="51.0"/>
        <n v="46.9"/>
        <n v="53.5"/>
        <n v="49.7"/>
        <n v="41.0"/>
        <n v="48.1"/>
        <n v="36.8"/>
        <n v="41.7"/>
        <n v="53.4"/>
        <n v="45.6"/>
        <n v="40.2"/>
        <n v="47.4"/>
        <n v="35.6"/>
        <n v="32.1"/>
        <n v="40.7"/>
        <n v="41.5"/>
        <n v="50.8"/>
        <n v="35.2"/>
        <n v="52.5"/>
        <n v="49.4"/>
        <n v="47.2"/>
        <n v="55.8"/>
        <n v="43.4"/>
        <n v="51.4"/>
        <n v="55.9"/>
        <n v="49.9"/>
        <n v="38.5"/>
        <n v="43.1"/>
        <n v="51.5"/>
        <n v="52.1"/>
        <n v="52.2"/>
        <n v="55.1"/>
        <n v="51.9"/>
        <n v="48.8"/>
      </sharedItems>
    </cacheField>
    <cacheField name="PICO PROF" numFmtId="0">
      <sharedItems containsSemiMixedTypes="0" containsString="0" containsNumber="1">
        <n v="18.1"/>
        <n v="20.2"/>
        <n v="17.1"/>
        <n v="17.3"/>
        <n v="16.7"/>
        <n v="17.8"/>
        <n v="18.9"/>
        <n v="17.2"/>
        <n v="18.6"/>
        <n v="18.7"/>
        <n v="17.4"/>
        <n v="19.0"/>
        <n v="20.7"/>
        <n v="18.3"/>
        <n v="19.2"/>
        <n v="17.9"/>
        <n v="19.3"/>
        <n v="19.1"/>
        <n v="21.2"/>
        <n v="19.6"/>
        <n v="17.6"/>
        <n v="18.0"/>
        <n v="20.6"/>
        <n v="21.1"/>
        <n v="18.4"/>
        <n v="21.5"/>
        <n v="17.0"/>
        <n v="20.0"/>
        <n v="18.5"/>
        <n v="16.9"/>
        <n v="18.8"/>
        <n v="14.5"/>
        <n v="13.5"/>
        <n v="19.7"/>
        <n v="19.5"/>
        <n v="19.8"/>
        <n v="19.9"/>
        <n v="13.2"/>
        <n v="16.3"/>
        <n v="14.1"/>
        <n v="15.2"/>
        <n v="14.6"/>
        <n v="15.3"/>
        <n v="13.4"/>
        <n v="15.4"/>
        <n v="13.7"/>
        <n v="16.1"/>
        <n v="15.1"/>
        <n v="14.3"/>
        <n v="15.8"/>
        <n v="18.2"/>
        <n v="20.3"/>
        <n v="16.6"/>
        <n v="19.4"/>
        <n v="13.1"/>
        <n v="15.0"/>
        <n v="14.2"/>
        <n v="15.7"/>
        <n v="17.5"/>
        <n v="13.3"/>
        <n v="15.9"/>
        <n v="13.9"/>
        <n v="13.8"/>
        <n v="14.9"/>
        <n v="15.6"/>
        <n v="16.0"/>
        <n v="14.4"/>
        <n v="16.8"/>
        <n v="17.7"/>
        <n v="16.2"/>
        <n v="13.6"/>
        <n v="14.8"/>
        <n v="16.4"/>
        <n v="20.8"/>
        <n v="14.0"/>
        <n v="14.7"/>
        <n v="16.5"/>
        <n v="20.1"/>
        <n v="15.5"/>
        <n v="20.5"/>
      </sharedItems>
    </cacheField>
    <cacheField name="ALETA LONG" numFmtId="0">
      <sharedItems containsSemiMixedTypes="0" containsString="0" containsNumber="1" containsInteger="1">
        <n v="193.0"/>
        <n v="190.0"/>
        <n v="186.0"/>
        <n v="180.0"/>
        <n v="178.0"/>
        <n v="188.0"/>
        <n v="184.0"/>
        <n v="187.0"/>
        <n v="172.0"/>
        <n v="181.0"/>
        <n v="195.0"/>
        <n v="197.0"/>
        <n v="174.0"/>
        <n v="189.0"/>
        <n v="185.0"/>
        <n v="183.0"/>
        <n v="182.0"/>
        <n v="179.0"/>
        <n v="191.0"/>
        <n v="198.0"/>
        <n v="194.0"/>
        <n v="196.0"/>
        <n v="215.0"/>
        <n v="210.0"/>
        <n v="192.0"/>
        <n v="201.0"/>
        <n v="211.0"/>
        <n v="230.0"/>
        <n v="218.0"/>
        <n v="219.0"/>
        <n v="209.0"/>
        <n v="214.0"/>
        <n v="216.0"/>
        <n v="221.0"/>
        <n v="222.0"/>
        <n v="213.0"/>
        <n v="220.0"/>
        <n v="217.0"/>
        <n v="207.0"/>
        <n v="208.0"/>
        <n v="225.0"/>
        <n v="224.0"/>
        <n v="200.0"/>
        <n v="229.0"/>
        <n v="223.0"/>
        <n v="231.0"/>
        <n v="202.0"/>
        <n v="205.0"/>
        <n v="203.0"/>
        <n v="199.0"/>
        <n v="212.0"/>
        <n v="176.0"/>
        <n v="228.0"/>
        <n v="226.0"/>
        <n v="206.0"/>
      </sharedItems>
    </cacheField>
    <cacheField name="MASA CORP" numFmtId="0">
      <sharedItems containsSemiMixedTypes="0" containsString="0" containsNumber="1" containsInteger="1">
        <n v="3475.0"/>
        <n v="4250.0"/>
        <n v="3300.0"/>
        <n v="3700.0"/>
        <n v="3250.0"/>
        <n v="3900.0"/>
        <n v="3800.0"/>
        <n v="3150.0"/>
        <n v="3950.0"/>
        <n v="3750.0"/>
        <n v="3450.0"/>
        <n v="4500.0"/>
        <n v="3400.0"/>
        <n v="3600.0"/>
        <n v="3550.0"/>
        <n v="3200.0"/>
        <n v="4650.0"/>
        <n v="3425.0"/>
        <n v="2975.0"/>
        <n v="4150.0"/>
        <n v="3625.0"/>
        <n v="4675.0"/>
        <n v="3650.0"/>
        <n v="4400.0"/>
        <n v="3325.0"/>
        <n v="4200.0"/>
        <n v="3000.0"/>
        <n v="4600.0"/>
        <n v="5400.0"/>
        <n v="4550.0"/>
        <n v="3100.0"/>
        <n v="3500.0"/>
        <n v="3725.0"/>
        <n v="3575.0"/>
        <n v="4050.0"/>
        <n v="3525.0"/>
        <n v="5700.0"/>
        <n v="4450.0"/>
        <n v="4800.0"/>
        <n v="5200.0"/>
        <n v="5150.0"/>
        <n v="5550.0"/>
        <n v="6300.0"/>
        <n v="5350.0"/>
        <n v="5000.0"/>
        <n v="5050.0"/>
        <n v="3775.0"/>
        <n v="2900.0"/>
        <n v="5850.0"/>
        <n v="5100.0"/>
        <n v="4100.0"/>
        <n v="5650.0"/>
        <n v="5250.0"/>
        <n v="4700.0"/>
        <n v="6050.0"/>
        <n v="4950.0"/>
        <n v="5300.0"/>
        <n v="4900.0"/>
        <n v="4300.0"/>
        <n v="4750.0"/>
        <n v="4850.0"/>
        <n v="3350.0"/>
        <n v="5800.0"/>
        <n v="6000.0"/>
        <n v="4350.0"/>
        <n v="4000.0"/>
        <n v="5950.0"/>
        <n v="3050.0"/>
        <n v="2850.0"/>
        <n v="3850.0"/>
        <n v="2700.0"/>
        <n v="4725.0"/>
        <n v="4575.0"/>
        <n v="5500.0"/>
        <n v="4475.0"/>
        <n v="3825.0"/>
        <n v="3075.0"/>
        <n v="2925.0"/>
        <n v="4275.0"/>
        <n v="3875.0"/>
        <n v="3175.0"/>
        <n v="3975.0"/>
        <n v="4075.0"/>
        <n v="3675.0"/>
        <n v="4625.0"/>
        <n v="5450.0"/>
        <n v="4925.0"/>
        <n v="4875.0"/>
        <n v="4975.0"/>
        <n v="4775.0"/>
        <n v="3275.0"/>
        <n v="5600.0"/>
        <n v="5750.0"/>
        <n v="4375.0"/>
      </sharedItems>
    </cacheField>
    <cacheField name="Sex" numFmtId="0">
      <sharedItems>
        <s v="NA"/>
        <s v="FEMALE"/>
        <s v="MALE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 8" cacheId="0" dataCaption="" compact="0" compactData="0">
  <location ref="A1:F12" firstHeaderRow="0" firstDataRow="2" firstDataCol="1"/>
  <pivotFields>
    <pivotField name="studyName" axis="axisRow" compact="0" outline="0" multipleItemSelectionAllowed="1" showAll="0" sortType="ascending" defaultSubtotal="0">
      <items>
        <item x="0"/>
        <item x="1"/>
        <item x="2"/>
      </items>
    </pivotField>
    <pivotField name="Sampl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t="default"/>
      </items>
    </pivotField>
    <pivotField name="Species" axis="axisRow" compact="0" outline="0" multipleItemSelectionAllowed="1" showAll="0" sortType="ascending">
      <items>
        <item x="0"/>
        <item x="2"/>
        <item x="1"/>
        <item t="default"/>
      </items>
    </pivotField>
    <pivotField name="Island" compact="0" outline="0" multipleItemSelectionAllowed="1" showAll="0">
      <items>
        <item x="0"/>
        <item x="1"/>
        <item x="2"/>
        <item t="default"/>
      </items>
    </pivotField>
    <pivotField name="Individual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Clutch Completion" compact="0" outline="0" multipleItemSelectionAllowed="1" showAll="0">
      <items>
        <item x="0"/>
        <item x="1"/>
        <item t="default"/>
      </items>
    </pivotField>
    <pivotField name="Date Eg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ICO LO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t="default"/>
      </items>
    </pivotField>
    <pivotField name="PICO PROF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ALETA LO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MASA CO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Sex" axis="axisCol" dataField="1" compact="0" outline="0" multipleItemSelectionAllowed="1" showAll="0" sortType="ascending">
      <items>
        <item x="1"/>
        <item x="2"/>
        <item x="0"/>
        <item t="default"/>
      </items>
    </pivotField>
  </pivotFields>
  <rowFields>
    <field x="0"/>
    <field x="2"/>
  </rowFields>
  <colFields>
    <field x="11"/>
  </colFields>
  <dataFields>
    <dataField name="COUNTA of Sex" fld="11" subtotal="count" baseField="0"/>
  </dataFields>
</pivotTableDefinition>
</file>

<file path=xl/pivotTables/pivotTable2.xml><?xml version="1.0" encoding="utf-8"?>
<pivotTableDefinition xmlns="http://schemas.openxmlformats.org/spreadsheetml/2006/main" name="preguntas" cacheId="0" dataCaption="" compact="0" compactData="0">
  <location ref="A8:B12" firstHeaderRow="0" firstDataRow="1" firstDataCol="0"/>
  <pivotFields>
    <pivotField name="studyName" compact="0" outline="0" multipleItemSelectionAllowed="1" showAll="0">
      <items>
        <item x="0"/>
        <item x="1"/>
        <item x="2"/>
        <item t="default"/>
      </items>
    </pivotField>
    <pivotField name="Sampl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t="default"/>
      </items>
    </pivotField>
    <pivotField name="Species" axis="axisRow" dataField="1" compact="0" outline="0" multipleItemSelectionAllowed="1" showAll="0" sortType="ascending">
      <items>
        <item x="0"/>
        <item x="2"/>
        <item x="1"/>
        <item t="default"/>
      </items>
    </pivotField>
    <pivotField name="Island" compact="0" outline="0" multipleItemSelectionAllowed="1" showAll="0">
      <items>
        <item x="0"/>
        <item x="1"/>
        <item x="2"/>
        <item t="default"/>
      </items>
    </pivotField>
    <pivotField name="Individual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Clutch Completion" compact="0" outline="0" multipleItemSelectionAllowed="1" showAll="0">
      <items>
        <item x="0"/>
        <item x="1"/>
        <item t="default"/>
      </items>
    </pivotField>
    <pivotField name="Date Eg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ICO LO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t="default"/>
      </items>
    </pivotField>
    <pivotField name="PICO PROF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ALETA LO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MASA CO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Sex" compact="0" outline="0" multipleItemSelectionAllowed="1" showAll="0">
      <items>
        <item x="0"/>
        <item x="1"/>
        <item x="2"/>
        <item t="default"/>
      </items>
    </pivotField>
  </pivotFields>
  <rowFields>
    <field x="2"/>
  </rowFields>
  <dataFields>
    <dataField name="TOTAL Species" fld="2" subtotal="count" baseField="0"/>
  </dataFields>
</pivotTableDefinition>
</file>

<file path=xl/pivotTables/pivotTable3.xml><?xml version="1.0" encoding="utf-8"?>
<pivotTableDefinition xmlns="http://schemas.openxmlformats.org/spreadsheetml/2006/main" name="Hoja 8" cacheId="0" dataCaption="" compact="0" compactData="0">
  <location ref="A4:F479" firstHeaderRow="0" firstDataRow="2" firstDataCol="1"/>
  <pivotFields>
    <pivotField name="studyName" axis="axisCol" compact="0" outline="0" multipleItemSelectionAllowed="1" showAll="0" sortType="ascending">
      <items>
        <item x="0"/>
        <item x="1"/>
        <item x="2"/>
        <item t="default"/>
      </items>
    </pivotField>
    <pivotField name="Sampl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t="default"/>
      </items>
    </pivotField>
    <pivotField name="Species" axis="axisRow" compact="0" outline="0" multipleItemSelectionAllowed="1" showAll="0" sortType="ascending">
      <items>
        <item x="0"/>
        <item x="2"/>
        <item x="1"/>
        <item t="default"/>
      </items>
    </pivotField>
    <pivotField name="Island" compact="0" outline="0" multipleItemSelectionAllowed="1" showAll="0">
      <items>
        <item x="0"/>
        <item x="1"/>
        <item x="2"/>
        <item t="default"/>
      </items>
    </pivotField>
    <pivotField name="Individual ID" axis="axisRow" dataField="1" compact="0" outline="0" multipleItemSelectionAllowed="1" showAll="0" sortType="ascending">
      <items>
        <item x="176"/>
        <item x="177"/>
        <item x="37"/>
        <item x="38"/>
        <item x="16"/>
        <item x="17"/>
        <item x="18"/>
        <item x="19"/>
        <item x="8"/>
        <item x="9"/>
        <item x="113"/>
        <item x="114"/>
        <item x="115"/>
        <item x="116"/>
        <item x="109"/>
        <item x="110"/>
        <item x="20"/>
        <item x="21"/>
        <item x="10"/>
        <item x="11"/>
        <item x="130"/>
        <item x="131"/>
        <item x="12"/>
        <item x="13"/>
        <item x="117"/>
        <item x="118"/>
        <item x="4"/>
        <item x="5"/>
        <item x="6"/>
        <item x="7"/>
        <item x="39"/>
        <item x="40"/>
        <item x="41"/>
        <item x="42"/>
        <item x="22"/>
        <item x="23"/>
        <item x="43"/>
        <item x="44"/>
        <item x="49"/>
        <item x="50"/>
        <item x="45"/>
        <item x="46"/>
        <item x="24"/>
        <item x="25"/>
        <item x="32"/>
        <item x="129"/>
        <item x="26"/>
        <item x="27"/>
        <item x="63"/>
        <item x="64"/>
        <item x="65"/>
        <item x="66"/>
        <item x="47"/>
        <item x="48"/>
        <item x="67"/>
        <item x="68"/>
        <item x="69"/>
        <item x="70"/>
        <item x="71"/>
        <item x="72"/>
        <item x="89"/>
        <item x="90"/>
        <item x="103"/>
        <item x="104"/>
        <item x="73"/>
        <item x="74"/>
        <item x="33"/>
        <item x="34"/>
        <item x="75"/>
        <item x="76"/>
        <item x="77"/>
        <item x="78"/>
        <item x="79"/>
        <item x="80"/>
        <item x="178"/>
        <item x="179"/>
        <item x="91"/>
        <item x="92"/>
        <item x="134"/>
        <item x="135"/>
        <item x="93"/>
        <item x="94"/>
        <item x="95"/>
        <item x="96"/>
        <item x="138"/>
        <item x="139"/>
        <item x="121"/>
        <item x="122"/>
        <item x="28"/>
        <item x="29"/>
        <item x="97"/>
        <item x="98"/>
        <item x="123"/>
        <item x="124"/>
        <item x="132"/>
        <item x="133"/>
        <item x="111"/>
        <item x="112"/>
        <item x="125"/>
        <item x="126"/>
        <item x="105"/>
        <item x="106"/>
        <item x="119"/>
        <item x="120"/>
        <item x="0"/>
        <item x="1"/>
        <item x="127"/>
        <item x="128"/>
        <item x="51"/>
        <item x="52"/>
        <item x="59"/>
        <item x="60"/>
        <item x="140"/>
        <item x="141"/>
        <item x="53"/>
        <item x="54"/>
        <item x="142"/>
        <item x="143"/>
        <item x="81"/>
        <item x="82"/>
        <item x="55"/>
        <item x="56"/>
        <item x="83"/>
        <item x="84"/>
        <item x="61"/>
        <item x="62"/>
        <item x="2"/>
        <item x="3"/>
        <item x="57"/>
        <item x="58"/>
        <item x="99"/>
        <item x="100"/>
        <item x="101"/>
        <item x="102"/>
        <item x="107"/>
        <item x="108"/>
        <item x="144"/>
        <item x="145"/>
        <item x="136"/>
        <item x="137"/>
        <item x="146"/>
        <item x="147"/>
        <item x="148"/>
        <item x="149"/>
        <item x="154"/>
        <item x="155"/>
        <item x="156"/>
        <item x="157"/>
        <item x="30"/>
        <item x="31"/>
        <item x="152"/>
        <item x="153"/>
        <item x="158"/>
        <item x="159"/>
        <item x="160"/>
        <item x="161"/>
        <item x="150"/>
        <item x="151"/>
        <item x="162"/>
        <item x="163"/>
        <item x="85"/>
        <item x="86"/>
        <item x="164"/>
        <item x="165"/>
        <item x="184"/>
        <item x="185"/>
        <item x="180"/>
        <item x="181"/>
        <item x="87"/>
        <item x="88"/>
        <item x="35"/>
        <item x="36"/>
        <item x="168"/>
        <item x="169"/>
        <item x="182"/>
        <item x="183"/>
        <item x="186"/>
        <item x="187"/>
        <item x="170"/>
        <item x="171"/>
        <item x="172"/>
        <item x="173"/>
        <item x="188"/>
        <item x="189"/>
        <item x="166"/>
        <item x="167"/>
        <item x="174"/>
        <item x="175"/>
        <item x="14"/>
        <item x="15"/>
        <item t="default"/>
      </items>
    </pivotField>
    <pivotField name="Clutch Completion" compact="0" outline="0" multipleItemSelectionAllowed="1" showAll="0">
      <items>
        <item x="0"/>
        <item x="1"/>
        <item t="default"/>
      </items>
    </pivotField>
    <pivotField name="Date Eg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ICO LO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t="default"/>
      </items>
    </pivotField>
    <pivotField name="PICO PROF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ALETA LO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MASA CO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Sex" compact="0" outline="0" multipleItemSelectionAllowed="1" showAll="0">
      <items>
        <item x="0"/>
        <item x="1"/>
        <item x="2"/>
        <item t="default"/>
      </items>
    </pivotField>
  </pivotFields>
  <rowFields>
    <field x="4"/>
    <field x="2"/>
  </rowFields>
  <colFields>
    <field x="0"/>
  </colFields>
  <dataFields>
    <dataField name="COUNTA of Individual ID" fld="4" subtotal="count" baseField="0"/>
  </dataFields>
</pivotTableDefinition>
</file>

<file path=xl/pivotTables/pivotTable4.xml><?xml version="1.0" encoding="utf-8"?>
<pivotTableDefinition xmlns="http://schemas.openxmlformats.org/spreadsheetml/2006/main" name="Hoja 8 2" cacheId="0" dataCaption="" compact="0" compactData="0">
  <location ref="H4:M500" firstHeaderRow="0" firstDataRow="2" firstDataCol="1"/>
  <pivotFields>
    <pivotField name="studyName" axis="axisCol" compact="0" outline="0" multipleItemSelectionAllowed="1" showAll="0" sortType="ascending">
      <items>
        <item x="0"/>
        <item x="1"/>
        <item x="2"/>
        <item t="default"/>
      </items>
    </pivotField>
    <pivotField name="Sample Number" axis="axisRow" dataField="1" compact="0" outline="0" multipleItemSelectionAllowed="1" showAll="0" sortType="ascending">
      <items>
        <item x="12"/>
        <item x="13"/>
        <item x="32"/>
        <item x="49"/>
        <item x="33"/>
        <item x="34"/>
        <item x="28"/>
        <item x="29"/>
        <item x="0"/>
        <item x="1"/>
        <item x="2"/>
        <item x="3"/>
        <item x="30"/>
        <item x="31"/>
        <item x="35"/>
        <item x="36"/>
        <item x="14"/>
        <item x="15"/>
        <item x="37"/>
        <item x="38"/>
        <item x="16"/>
        <item x="17"/>
        <item x="18"/>
        <item x="19"/>
        <item x="8"/>
        <item x="9"/>
        <item x="20"/>
        <item x="21"/>
        <item x="10"/>
        <item x="11"/>
        <item x="4"/>
        <item x="5"/>
        <item x="6"/>
        <item x="7"/>
        <item x="39"/>
        <item x="40"/>
        <item x="41"/>
        <item x="42"/>
        <item x="22"/>
        <item x="23"/>
        <item x="43"/>
        <item x="44"/>
        <item x="47"/>
        <item x="48"/>
        <item x="45"/>
        <item x="46"/>
        <item x="24"/>
        <item x="25"/>
        <item x="26"/>
        <item x="27"/>
        <item x="58"/>
        <item x="59"/>
        <item x="60"/>
        <item x="61"/>
        <item x="62"/>
        <item x="63"/>
        <item x="52"/>
        <item x="53"/>
        <item x="72"/>
        <item x="73"/>
        <item x="54"/>
        <item x="55"/>
        <item x="92"/>
        <item x="93"/>
        <item x="64"/>
        <item x="65"/>
        <item x="68"/>
        <item x="69"/>
        <item x="90"/>
        <item x="91"/>
        <item x="56"/>
        <item x="57"/>
        <item x="86"/>
        <item x="87"/>
        <item x="74"/>
        <item x="75"/>
        <item x="70"/>
        <item x="71"/>
        <item x="84"/>
        <item x="85"/>
        <item x="50"/>
        <item x="51"/>
        <item x="76"/>
        <item x="77"/>
        <item x="96"/>
        <item x="97"/>
        <item x="78"/>
        <item x="79"/>
        <item x="80"/>
        <item x="81"/>
        <item x="94"/>
        <item x="95"/>
        <item x="66"/>
        <item x="67"/>
        <item x="98"/>
        <item x="99"/>
        <item x="82"/>
        <item x="83"/>
        <item x="88"/>
        <item x="89"/>
        <item x="100"/>
        <item x="101"/>
        <item x="116"/>
        <item x="117"/>
        <item x="118"/>
        <item x="119"/>
        <item x="106"/>
        <item x="107"/>
        <item x="102"/>
        <item x="103"/>
        <item x="108"/>
        <item x="109"/>
        <item x="120"/>
        <item x="121"/>
        <item x="132"/>
        <item x="133"/>
        <item x="140"/>
        <item x="141"/>
        <item x="148"/>
        <item x="149"/>
        <item x="134"/>
        <item x="135"/>
        <item x="122"/>
        <item x="123"/>
        <item x="142"/>
        <item x="143"/>
        <item x="146"/>
        <item x="147"/>
        <item x="144"/>
        <item x="145"/>
        <item x="150"/>
        <item x="151"/>
        <item x="104"/>
        <item x="105"/>
        <item x="110"/>
        <item x="111"/>
        <item x="124"/>
        <item x="125"/>
        <item x="126"/>
        <item x="127"/>
        <item x="114"/>
        <item x="115"/>
        <item x="128"/>
        <item x="129"/>
        <item x="130"/>
        <item x="131"/>
        <item x="112"/>
        <item x="113"/>
        <item x="136"/>
        <item x="137"/>
        <item x="138"/>
        <item x="139"/>
        <item t="default"/>
      </items>
    </pivotField>
    <pivotField name="Species" axis="axisRow" compact="0" outline="0" multipleItemSelectionAllowed="1" showAll="0" sortType="ascending">
      <items>
        <item x="0"/>
        <item x="2"/>
        <item x="1"/>
        <item t="default"/>
      </items>
    </pivotField>
    <pivotField name="Island" compact="0" outline="0" multipleItemSelectionAllowed="1" showAll="0">
      <items>
        <item x="0"/>
        <item x="1"/>
        <item x="2"/>
        <item t="default"/>
      </items>
    </pivotField>
    <pivotField name="Individual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Clutch Completion" compact="0" outline="0" multipleItemSelectionAllowed="1" showAll="0">
      <items>
        <item x="0"/>
        <item x="1"/>
        <item t="default"/>
      </items>
    </pivotField>
    <pivotField name="Date Eg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ICO LO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t="default"/>
      </items>
    </pivotField>
    <pivotField name="PICO PROF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ALETA LO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MASA CO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Sex" compact="0" outline="0" multipleItemSelectionAllowed="1" showAll="0">
      <items>
        <item x="0"/>
        <item x="1"/>
        <item x="2"/>
        <item t="default"/>
      </items>
    </pivotField>
  </pivotFields>
  <rowFields>
    <field x="1"/>
    <field x="2"/>
  </rowFields>
  <colFields>
    <field x="0"/>
  </colFields>
  <dataFields>
    <dataField name="COUNT of Sample Number" fld="1" subtotal="countNums" baseField="0"/>
  </dataFields>
</pivotTableDefinition>
</file>

<file path=xl/pivotTables/pivotTable5.xml><?xml version="1.0" encoding="utf-8"?>
<pivotTableDefinition xmlns="http://schemas.openxmlformats.org/spreadsheetml/2006/main" name="Hoja 8 3" cacheId="0" dataCaption="" compact="0" compactData="0">
  <location ref="O4:S9" firstHeaderRow="0" firstDataRow="1" firstDataCol="1"/>
  <pivotFields>
    <pivotField name="studyName" compact="0" outline="0" multipleItemSelectionAllowed="1" showAll="0">
      <items>
        <item x="0"/>
        <item x="1"/>
        <item x="2"/>
        <item t="default"/>
      </items>
    </pivotField>
    <pivotField name="Sampl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t="default"/>
      </items>
    </pivotField>
    <pivotField name="Species" axis="axisRow" compact="0" outline="0" multipleItemSelectionAllowed="1" showAll="0" sortType="ascending">
      <items>
        <item x="0"/>
        <item x="2"/>
        <item x="1"/>
        <item t="default"/>
      </items>
    </pivotField>
    <pivotField name="Island" compact="0" outline="0" multipleItemSelectionAllowed="1" showAll="0">
      <items>
        <item x="0"/>
        <item x="1"/>
        <item x="2"/>
        <item t="default"/>
      </items>
    </pivotField>
    <pivotField name="Individual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Clutch Completion" compact="0" outline="0" multipleItemSelectionAllowed="1" showAll="0">
      <items>
        <item x="0"/>
        <item x="1"/>
        <item t="default"/>
      </items>
    </pivotField>
    <pivotField name="Date Eg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ICO LO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t="default"/>
      </items>
    </pivotField>
    <pivotField name="PICO PROF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ALETA LO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MASA CO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Sex" axis="axisCol" dataField="1" compact="0" outline="0" multipleItemSelectionAllowed="1" showAll="0" sortType="ascending">
      <items>
        <item x="1"/>
        <item x="2"/>
        <item x="0"/>
        <item t="default"/>
      </items>
    </pivotField>
  </pivotFields>
  <rowFields>
    <field x="2"/>
  </rowFields>
  <colFields>
    <field x="11"/>
  </colFields>
  <dataFields>
    <dataField name="COUNTA of Sex" fld="11" subtotal="count" baseField="0"/>
  </dataFields>
</pivotTableDefinition>
</file>

<file path=xl/pivotTables/pivotTable6.xml><?xml version="1.0" encoding="utf-8"?>
<pivotTableDefinition xmlns="http://schemas.openxmlformats.org/spreadsheetml/2006/main" name="Hoja 8 4" cacheId="0" dataCaption="" compact="0" compactData="0">
  <location ref="V4:AA11" firstHeaderRow="0" firstDataRow="2" firstDataCol="1"/>
  <pivotFields>
    <pivotField name="studyName" compact="0" outline="0" multipleItemSelectionAllowed="1" showAll="0">
      <items>
        <item x="0"/>
        <item x="1"/>
        <item x="2"/>
        <item t="default"/>
      </items>
    </pivotField>
    <pivotField name="Sampl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t="default"/>
      </items>
    </pivotField>
    <pivotField name="Species" axis="axisRow" compact="0" outline="0" multipleItemSelectionAllowed="1" showAll="0" sortType="ascending" defaultSubtotal="0">
      <items>
        <item x="0"/>
        <item x="2"/>
        <item x="1"/>
      </items>
    </pivotField>
    <pivotField name="Island" axis="axisRow" compact="0" outline="0" multipleItemSelectionAllowed="1" showAll="0" sortType="ascending">
      <items>
        <item x="2"/>
        <item x="1"/>
        <item x="0"/>
        <item t="default"/>
      </items>
    </pivotField>
    <pivotField name="Individual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Clutch Completion" compact="0" outline="0" multipleItemSelectionAllowed="1" showAll="0">
      <items>
        <item x="0"/>
        <item x="1"/>
        <item t="default"/>
      </items>
    </pivotField>
    <pivotField name="Date Eg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ICO LO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t="default"/>
      </items>
    </pivotField>
    <pivotField name="PICO PROF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ALETA LO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MASA CO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Sex" axis="axisCol" dataField="1" compact="0" outline="0" multipleItemSelectionAllowed="1" showAll="0" sortType="ascending">
      <items>
        <item x="1"/>
        <item x="2"/>
        <item x="0"/>
        <item t="default"/>
      </items>
    </pivotField>
  </pivotFields>
  <rowFields>
    <field x="2"/>
    <field x="3"/>
  </rowFields>
  <colFields>
    <field x="11"/>
  </colFields>
  <dataFields>
    <dataField name="COUNTA of Sex" fld="11" subtotal="count" baseField="0"/>
  </dataFields>
</pivotTableDefinition>
</file>

<file path=xl/tables/table1.xml><?xml version="1.0" encoding="utf-8"?>
<table xmlns="http://schemas.openxmlformats.org/spreadsheetml/2006/main" ref="A1:L343" displayName="Tabla_1" name="Tabla_1" id="1">
  <autoFilter ref="$A$1:$L$343">
    <filterColumn colId="0">
      <filters>
        <filter val="PAL0809"/>
      </filters>
    </filterColumn>
  </autoFilter>
  <tableColumns count="12">
    <tableColumn name="studyName" id="1"/>
    <tableColumn name="Sample Number" id="2"/>
    <tableColumn name="Species" id="3"/>
    <tableColumn name="Island" id="4"/>
    <tableColumn name="Individual ID" id="5"/>
    <tableColumn name="Clutch Completion" id="6"/>
    <tableColumn name="Date Egg" id="7"/>
    <tableColumn name="PICO LONG" id="8"/>
    <tableColumn name="PICO PROF" id="9"/>
    <tableColumn name="ALETA LONG" id="10"/>
    <tableColumn name="MASA CORP" id="11"/>
    <tableColumn name="Sex" id="12"/>
  </tableColumns>
  <tableStyleInfo name="tabl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hyperlink" Target="https://www.kaggle.com/code/joeportilla/an-lisis-exploratorio-de-datos-palmer-penguins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pivotTable" Target="../pivotTables/pivotTable4.xml"/><Relationship Id="rId3" Type="http://schemas.openxmlformats.org/officeDocument/2006/relationships/pivotTable" Target="../pivotTables/pivotTable5.xml"/><Relationship Id="rId4" Type="http://schemas.openxmlformats.org/officeDocument/2006/relationships/pivotTable" Target="../pivotTables/pivotTable6.xml"/><Relationship Id="rId5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4.86"/>
    <col customWidth="1" min="3" max="3" width="35.86"/>
    <col customWidth="1" min="4" max="4" width="9.43"/>
    <col customWidth="1" min="5" max="5" width="11.71"/>
    <col customWidth="1" min="6" max="6" width="8.71"/>
    <col customWidth="1" min="7" max="7" width="16.14"/>
    <col customWidth="1" min="8" max="21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4.25" customHeight="1">
      <c r="A2" s="1" t="s">
        <v>12</v>
      </c>
      <c r="B2" s="1">
        <v>1.0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>
        <v>39.1</v>
      </c>
      <c r="I2" s="1">
        <v>18.7</v>
      </c>
      <c r="J2" s="1">
        <v>181.0</v>
      </c>
      <c r="K2" s="1">
        <v>3750.0</v>
      </c>
      <c r="L2" s="1" t="s">
        <v>18</v>
      </c>
    </row>
    <row r="3" ht="14.25" customHeight="1">
      <c r="A3" s="1" t="s">
        <v>12</v>
      </c>
      <c r="B3" s="1">
        <v>2.0</v>
      </c>
      <c r="C3" s="1" t="s">
        <v>13</v>
      </c>
      <c r="D3" s="1" t="s">
        <v>14</v>
      </c>
      <c r="E3" s="1" t="s">
        <v>19</v>
      </c>
      <c r="F3" s="1" t="s">
        <v>16</v>
      </c>
      <c r="G3" s="1" t="s">
        <v>17</v>
      </c>
      <c r="H3" s="1">
        <v>39.5</v>
      </c>
      <c r="I3" s="1">
        <v>17.4</v>
      </c>
      <c r="J3" s="1">
        <v>186.0</v>
      </c>
      <c r="K3" s="1">
        <v>3800.0</v>
      </c>
      <c r="L3" s="1" t="s">
        <v>20</v>
      </c>
    </row>
    <row r="4" ht="14.25" customHeight="1">
      <c r="A4" s="1" t="s">
        <v>12</v>
      </c>
      <c r="B4" s="1">
        <v>3.0</v>
      </c>
      <c r="C4" s="1" t="s">
        <v>13</v>
      </c>
      <c r="D4" s="1" t="s">
        <v>14</v>
      </c>
      <c r="E4" s="1" t="s">
        <v>21</v>
      </c>
      <c r="F4" s="1" t="s">
        <v>16</v>
      </c>
      <c r="G4" s="1" t="s">
        <v>22</v>
      </c>
      <c r="H4" s="1">
        <v>40.3</v>
      </c>
      <c r="I4" s="1">
        <v>18.0</v>
      </c>
      <c r="J4" s="1">
        <v>195.0</v>
      </c>
      <c r="K4" s="1">
        <v>3250.0</v>
      </c>
      <c r="L4" s="1" t="s">
        <v>20</v>
      </c>
    </row>
    <row r="5" ht="14.25" customHeight="1">
      <c r="A5" s="1" t="s">
        <v>12</v>
      </c>
      <c r="B5" s="1">
        <v>5.0</v>
      </c>
      <c r="C5" s="1" t="s">
        <v>13</v>
      </c>
      <c r="D5" s="1" t="s">
        <v>14</v>
      </c>
      <c r="E5" s="1" t="s">
        <v>23</v>
      </c>
      <c r="F5" s="1" t="s">
        <v>16</v>
      </c>
      <c r="G5" s="1" t="s">
        <v>22</v>
      </c>
      <c r="H5" s="1">
        <v>36.7</v>
      </c>
      <c r="I5" s="1">
        <v>19.3</v>
      </c>
      <c r="J5" s="1">
        <v>193.0</v>
      </c>
      <c r="K5" s="1">
        <v>3450.0</v>
      </c>
      <c r="L5" s="1" t="s">
        <v>20</v>
      </c>
    </row>
    <row r="6" ht="14.25" customHeight="1">
      <c r="A6" s="1" t="s">
        <v>12</v>
      </c>
      <c r="B6" s="1">
        <v>6.0</v>
      </c>
      <c r="C6" s="1" t="s">
        <v>13</v>
      </c>
      <c r="D6" s="1" t="s">
        <v>14</v>
      </c>
      <c r="E6" s="1" t="s">
        <v>24</v>
      </c>
      <c r="F6" s="1" t="s">
        <v>16</v>
      </c>
      <c r="G6" s="1" t="s">
        <v>22</v>
      </c>
      <c r="H6" s="1">
        <v>39.3</v>
      </c>
      <c r="I6" s="1">
        <v>20.6</v>
      </c>
      <c r="J6" s="1">
        <v>190.0</v>
      </c>
      <c r="K6" s="1">
        <v>3650.0</v>
      </c>
      <c r="L6" s="1" t="s">
        <v>18</v>
      </c>
    </row>
    <row r="7" ht="14.25" customHeight="1">
      <c r="A7" s="1" t="s">
        <v>12</v>
      </c>
      <c r="B7" s="1">
        <v>7.0</v>
      </c>
      <c r="C7" s="1" t="s">
        <v>13</v>
      </c>
      <c r="D7" s="1" t="s">
        <v>14</v>
      </c>
      <c r="E7" s="1" t="s">
        <v>25</v>
      </c>
      <c r="F7" s="1" t="s">
        <v>26</v>
      </c>
      <c r="G7" s="1" t="s">
        <v>27</v>
      </c>
      <c r="H7" s="1">
        <v>38.9</v>
      </c>
      <c r="I7" s="1">
        <v>17.8</v>
      </c>
      <c r="J7" s="1">
        <v>181.0</v>
      </c>
      <c r="K7" s="1">
        <v>3625.0</v>
      </c>
      <c r="L7" s="1" t="s">
        <v>20</v>
      </c>
    </row>
    <row r="8" ht="14.25" customHeight="1">
      <c r="A8" s="1" t="s">
        <v>12</v>
      </c>
      <c r="B8" s="1">
        <v>8.0</v>
      </c>
      <c r="C8" s="1" t="s">
        <v>13</v>
      </c>
      <c r="D8" s="1" t="s">
        <v>14</v>
      </c>
      <c r="E8" s="1" t="s">
        <v>28</v>
      </c>
      <c r="F8" s="1" t="s">
        <v>26</v>
      </c>
      <c r="G8" s="1" t="s">
        <v>27</v>
      </c>
      <c r="H8" s="1">
        <v>39.2</v>
      </c>
      <c r="I8" s="1">
        <v>19.6</v>
      </c>
      <c r="J8" s="1">
        <v>195.0</v>
      </c>
      <c r="K8" s="1">
        <v>4675.0</v>
      </c>
      <c r="L8" s="1" t="s">
        <v>18</v>
      </c>
    </row>
    <row r="9" ht="14.25" customHeight="1">
      <c r="A9" s="1" t="s">
        <v>12</v>
      </c>
      <c r="B9" s="1">
        <v>9.0</v>
      </c>
      <c r="C9" s="1" t="s">
        <v>13</v>
      </c>
      <c r="D9" s="1" t="s">
        <v>14</v>
      </c>
      <c r="E9" s="1" t="s">
        <v>29</v>
      </c>
      <c r="F9" s="1" t="s">
        <v>16</v>
      </c>
      <c r="G9" s="1" t="s">
        <v>30</v>
      </c>
      <c r="H9" s="1">
        <v>34.1</v>
      </c>
      <c r="I9" s="1">
        <v>18.1</v>
      </c>
      <c r="J9" s="1">
        <v>193.0</v>
      </c>
      <c r="K9" s="1">
        <v>3475.0</v>
      </c>
      <c r="L9" s="1" t="s">
        <v>31</v>
      </c>
    </row>
    <row r="10" ht="14.25" customHeight="1">
      <c r="A10" s="1" t="s">
        <v>12</v>
      </c>
      <c r="B10" s="1">
        <v>10.0</v>
      </c>
      <c r="C10" s="1" t="s">
        <v>13</v>
      </c>
      <c r="D10" s="1" t="s">
        <v>14</v>
      </c>
      <c r="E10" s="1" t="s">
        <v>32</v>
      </c>
      <c r="F10" s="1" t="s">
        <v>16</v>
      </c>
      <c r="G10" s="1" t="s">
        <v>30</v>
      </c>
      <c r="H10" s="1">
        <v>42.0</v>
      </c>
      <c r="I10" s="1">
        <v>20.2</v>
      </c>
      <c r="J10" s="1">
        <v>190.0</v>
      </c>
      <c r="K10" s="1">
        <v>4250.0</v>
      </c>
      <c r="L10" s="1" t="s">
        <v>31</v>
      </c>
    </row>
    <row r="11" ht="14.25" customHeight="1">
      <c r="A11" s="1" t="s">
        <v>12</v>
      </c>
      <c r="B11" s="1">
        <v>11.0</v>
      </c>
      <c r="C11" s="1" t="s">
        <v>13</v>
      </c>
      <c r="D11" s="1" t="s">
        <v>14</v>
      </c>
      <c r="E11" s="1" t="s">
        <v>33</v>
      </c>
      <c r="F11" s="1" t="s">
        <v>16</v>
      </c>
      <c r="G11" s="1" t="s">
        <v>30</v>
      </c>
      <c r="H11" s="1">
        <v>37.8</v>
      </c>
      <c r="I11" s="1">
        <v>17.1</v>
      </c>
      <c r="J11" s="1">
        <v>186.0</v>
      </c>
      <c r="K11" s="1">
        <v>3300.0</v>
      </c>
      <c r="L11" s="1" t="s">
        <v>31</v>
      </c>
    </row>
    <row r="12" ht="14.25" customHeight="1">
      <c r="A12" s="1" t="s">
        <v>12</v>
      </c>
      <c r="B12" s="1">
        <v>12.0</v>
      </c>
      <c r="C12" s="1" t="s">
        <v>13</v>
      </c>
      <c r="D12" s="1" t="s">
        <v>14</v>
      </c>
      <c r="E12" s="1" t="s">
        <v>34</v>
      </c>
      <c r="F12" s="1" t="s">
        <v>16</v>
      </c>
      <c r="G12" s="1" t="s">
        <v>30</v>
      </c>
      <c r="H12" s="1">
        <v>37.8</v>
      </c>
      <c r="I12" s="1">
        <v>17.3</v>
      </c>
      <c r="J12" s="1">
        <v>180.0</v>
      </c>
      <c r="K12" s="1">
        <v>3700.0</v>
      </c>
      <c r="L12" s="1" t="s">
        <v>31</v>
      </c>
    </row>
    <row r="13" ht="14.25" customHeight="1">
      <c r="A13" s="1" t="s">
        <v>12</v>
      </c>
      <c r="B13" s="1">
        <v>13.0</v>
      </c>
      <c r="C13" s="1" t="s">
        <v>13</v>
      </c>
      <c r="D13" s="1" t="s">
        <v>14</v>
      </c>
      <c r="E13" s="1" t="s">
        <v>35</v>
      </c>
      <c r="F13" s="1" t="s">
        <v>16</v>
      </c>
      <c r="G13" s="1" t="s">
        <v>27</v>
      </c>
      <c r="H13" s="1">
        <v>41.1</v>
      </c>
      <c r="I13" s="1">
        <v>17.6</v>
      </c>
      <c r="J13" s="1">
        <v>182.0</v>
      </c>
      <c r="K13" s="1">
        <v>3200.0</v>
      </c>
      <c r="L13" s="1" t="s">
        <v>20</v>
      </c>
    </row>
    <row r="14" ht="14.25" customHeight="1">
      <c r="A14" s="1" t="s">
        <v>12</v>
      </c>
      <c r="B14" s="1">
        <v>14.0</v>
      </c>
      <c r="C14" s="1" t="s">
        <v>13</v>
      </c>
      <c r="D14" s="1" t="s">
        <v>14</v>
      </c>
      <c r="E14" s="1" t="s">
        <v>36</v>
      </c>
      <c r="F14" s="1" t="s">
        <v>16</v>
      </c>
      <c r="G14" s="1" t="s">
        <v>27</v>
      </c>
      <c r="H14" s="1">
        <v>38.6</v>
      </c>
      <c r="I14" s="1">
        <v>21.2</v>
      </c>
      <c r="J14" s="1">
        <v>191.0</v>
      </c>
      <c r="K14" s="1">
        <v>3800.0</v>
      </c>
      <c r="L14" s="1" t="s">
        <v>18</v>
      </c>
    </row>
    <row r="15" ht="14.25" customHeight="1">
      <c r="A15" s="1" t="s">
        <v>12</v>
      </c>
      <c r="B15" s="1">
        <v>15.0</v>
      </c>
      <c r="C15" s="1" t="s">
        <v>13</v>
      </c>
      <c r="D15" s="1" t="s">
        <v>14</v>
      </c>
      <c r="E15" s="1" t="s">
        <v>37</v>
      </c>
      <c r="F15" s="1" t="s">
        <v>16</v>
      </c>
      <c r="G15" s="1" t="s">
        <v>22</v>
      </c>
      <c r="H15" s="1">
        <v>34.6</v>
      </c>
      <c r="I15" s="1">
        <v>21.1</v>
      </c>
      <c r="J15" s="1">
        <v>198.0</v>
      </c>
      <c r="K15" s="1">
        <v>4400.0</v>
      </c>
      <c r="L15" s="1" t="s">
        <v>18</v>
      </c>
    </row>
    <row r="16" ht="14.25" customHeight="1">
      <c r="A16" s="1" t="s">
        <v>12</v>
      </c>
      <c r="B16" s="1">
        <v>16.0</v>
      </c>
      <c r="C16" s="1" t="s">
        <v>13</v>
      </c>
      <c r="D16" s="1" t="s">
        <v>14</v>
      </c>
      <c r="E16" s="1" t="s">
        <v>38</v>
      </c>
      <c r="F16" s="1" t="s">
        <v>16</v>
      </c>
      <c r="G16" s="1" t="s">
        <v>22</v>
      </c>
      <c r="H16" s="1">
        <v>36.6</v>
      </c>
      <c r="I16" s="1">
        <v>17.8</v>
      </c>
      <c r="J16" s="1">
        <v>185.0</v>
      </c>
      <c r="K16" s="1">
        <v>3700.0</v>
      </c>
      <c r="L16" s="1" t="s">
        <v>20</v>
      </c>
    </row>
    <row r="17" ht="14.25" customHeight="1">
      <c r="A17" s="1" t="s">
        <v>12</v>
      </c>
      <c r="B17" s="1">
        <v>17.0</v>
      </c>
      <c r="C17" s="1" t="s">
        <v>13</v>
      </c>
      <c r="D17" s="1" t="s">
        <v>14</v>
      </c>
      <c r="E17" s="1" t="s">
        <v>39</v>
      </c>
      <c r="F17" s="1" t="s">
        <v>16</v>
      </c>
      <c r="G17" s="1" t="s">
        <v>40</v>
      </c>
      <c r="H17" s="1">
        <v>38.7</v>
      </c>
      <c r="I17" s="1">
        <v>19.0</v>
      </c>
      <c r="J17" s="1">
        <v>195.0</v>
      </c>
      <c r="K17" s="1">
        <v>3450.0</v>
      </c>
      <c r="L17" s="1" t="s">
        <v>20</v>
      </c>
    </row>
    <row r="18" ht="14.25" customHeight="1">
      <c r="A18" s="1" t="s">
        <v>12</v>
      </c>
      <c r="B18" s="1">
        <v>18.0</v>
      </c>
      <c r="C18" s="1" t="s">
        <v>13</v>
      </c>
      <c r="D18" s="1" t="s">
        <v>14</v>
      </c>
      <c r="E18" s="1" t="s">
        <v>41</v>
      </c>
      <c r="F18" s="1" t="s">
        <v>16</v>
      </c>
      <c r="G18" s="1" t="s">
        <v>40</v>
      </c>
      <c r="H18" s="1">
        <v>42.5</v>
      </c>
      <c r="I18" s="1">
        <v>20.7</v>
      </c>
      <c r="J18" s="1">
        <v>197.0</v>
      </c>
      <c r="K18" s="1">
        <v>4500.0</v>
      </c>
      <c r="L18" s="1" t="s">
        <v>18</v>
      </c>
    </row>
    <row r="19" ht="14.25" customHeight="1">
      <c r="A19" s="1" t="s">
        <v>12</v>
      </c>
      <c r="B19" s="1">
        <v>19.0</v>
      </c>
      <c r="C19" s="1" t="s">
        <v>13</v>
      </c>
      <c r="D19" s="1" t="s">
        <v>14</v>
      </c>
      <c r="E19" s="1" t="s">
        <v>42</v>
      </c>
      <c r="F19" s="1" t="s">
        <v>16</v>
      </c>
      <c r="G19" s="1" t="s">
        <v>22</v>
      </c>
      <c r="H19" s="1">
        <v>34.4</v>
      </c>
      <c r="I19" s="1">
        <v>18.4</v>
      </c>
      <c r="J19" s="1">
        <v>184.0</v>
      </c>
      <c r="K19" s="1">
        <v>3325.0</v>
      </c>
      <c r="L19" s="1" t="s">
        <v>20</v>
      </c>
    </row>
    <row r="20" ht="14.25" customHeight="1">
      <c r="A20" s="1" t="s">
        <v>12</v>
      </c>
      <c r="B20" s="1">
        <v>20.0</v>
      </c>
      <c r="C20" s="1" t="s">
        <v>13</v>
      </c>
      <c r="D20" s="1" t="s">
        <v>14</v>
      </c>
      <c r="E20" s="1" t="s">
        <v>43</v>
      </c>
      <c r="F20" s="1" t="s">
        <v>16</v>
      </c>
      <c r="G20" s="1" t="s">
        <v>22</v>
      </c>
      <c r="H20" s="1">
        <v>46.0</v>
      </c>
      <c r="I20" s="1">
        <v>21.5</v>
      </c>
      <c r="J20" s="1">
        <v>194.0</v>
      </c>
      <c r="K20" s="1">
        <v>4200.0</v>
      </c>
      <c r="L20" s="1" t="s">
        <v>18</v>
      </c>
    </row>
    <row r="21" ht="14.25" customHeight="1">
      <c r="A21" s="1" t="s">
        <v>12</v>
      </c>
      <c r="B21" s="1">
        <v>21.0</v>
      </c>
      <c r="C21" s="1" t="s">
        <v>13</v>
      </c>
      <c r="D21" s="1" t="s">
        <v>44</v>
      </c>
      <c r="E21" s="1" t="s">
        <v>45</v>
      </c>
      <c r="F21" s="1" t="s">
        <v>16</v>
      </c>
      <c r="G21" s="1" t="s">
        <v>40</v>
      </c>
      <c r="H21" s="1">
        <v>37.8</v>
      </c>
      <c r="I21" s="1">
        <v>18.3</v>
      </c>
      <c r="J21" s="1">
        <v>174.0</v>
      </c>
      <c r="K21" s="1">
        <v>3400.0</v>
      </c>
      <c r="L21" s="1" t="s">
        <v>20</v>
      </c>
    </row>
    <row r="22" ht="14.25" customHeight="1">
      <c r="A22" s="1" t="s">
        <v>12</v>
      </c>
      <c r="B22" s="1">
        <v>22.0</v>
      </c>
      <c r="C22" s="1" t="s">
        <v>13</v>
      </c>
      <c r="D22" s="1" t="s">
        <v>44</v>
      </c>
      <c r="E22" s="1" t="s">
        <v>46</v>
      </c>
      <c r="F22" s="1" t="s">
        <v>16</v>
      </c>
      <c r="G22" s="1" t="s">
        <v>40</v>
      </c>
      <c r="H22" s="1">
        <v>37.7</v>
      </c>
      <c r="I22" s="1">
        <v>18.7</v>
      </c>
      <c r="J22" s="1">
        <v>180.0</v>
      </c>
      <c r="K22" s="1">
        <v>3600.0</v>
      </c>
      <c r="L22" s="1" t="s">
        <v>18</v>
      </c>
    </row>
    <row r="23" ht="14.25" customHeight="1">
      <c r="A23" s="1" t="s">
        <v>12</v>
      </c>
      <c r="B23" s="1">
        <v>23.0</v>
      </c>
      <c r="C23" s="1" t="s">
        <v>13</v>
      </c>
      <c r="D23" s="1" t="s">
        <v>44</v>
      </c>
      <c r="E23" s="1" t="s">
        <v>47</v>
      </c>
      <c r="F23" s="1" t="s">
        <v>16</v>
      </c>
      <c r="G23" s="1" t="s">
        <v>40</v>
      </c>
      <c r="H23" s="1">
        <v>35.9</v>
      </c>
      <c r="I23" s="1">
        <v>19.2</v>
      </c>
      <c r="J23" s="1">
        <v>189.0</v>
      </c>
      <c r="K23" s="1">
        <v>3800.0</v>
      </c>
      <c r="L23" s="1" t="s">
        <v>20</v>
      </c>
    </row>
    <row r="24" ht="14.25" customHeight="1">
      <c r="A24" s="1" t="s">
        <v>12</v>
      </c>
      <c r="B24" s="1">
        <v>24.0</v>
      </c>
      <c r="C24" s="1" t="s">
        <v>13</v>
      </c>
      <c r="D24" s="1" t="s">
        <v>44</v>
      </c>
      <c r="E24" s="1" t="s">
        <v>48</v>
      </c>
      <c r="F24" s="1" t="s">
        <v>16</v>
      </c>
      <c r="G24" s="1" t="s">
        <v>40</v>
      </c>
      <c r="H24" s="1">
        <v>38.2</v>
      </c>
      <c r="I24" s="1">
        <v>18.1</v>
      </c>
      <c r="J24" s="1">
        <v>185.0</v>
      </c>
      <c r="K24" s="1">
        <v>3950.0</v>
      </c>
      <c r="L24" s="1" t="s">
        <v>18</v>
      </c>
    </row>
    <row r="25" ht="14.25" customHeight="1">
      <c r="A25" s="1" t="s">
        <v>12</v>
      </c>
      <c r="B25" s="1">
        <v>25.0</v>
      </c>
      <c r="C25" s="1" t="s">
        <v>13</v>
      </c>
      <c r="D25" s="1" t="s">
        <v>44</v>
      </c>
      <c r="E25" s="1" t="s">
        <v>49</v>
      </c>
      <c r="F25" s="1" t="s">
        <v>16</v>
      </c>
      <c r="G25" s="1" t="s">
        <v>50</v>
      </c>
      <c r="H25" s="1">
        <v>38.8</v>
      </c>
      <c r="I25" s="1">
        <v>17.2</v>
      </c>
      <c r="J25" s="1">
        <v>180.0</v>
      </c>
      <c r="K25" s="1">
        <v>3800.0</v>
      </c>
      <c r="L25" s="1" t="s">
        <v>18</v>
      </c>
    </row>
    <row r="26" ht="14.25" customHeight="1">
      <c r="A26" s="1" t="s">
        <v>12</v>
      </c>
      <c r="B26" s="1">
        <v>26.0</v>
      </c>
      <c r="C26" s="1" t="s">
        <v>13</v>
      </c>
      <c r="D26" s="1" t="s">
        <v>44</v>
      </c>
      <c r="E26" s="1" t="s">
        <v>51</v>
      </c>
      <c r="F26" s="1" t="s">
        <v>16</v>
      </c>
      <c r="G26" s="1" t="s">
        <v>50</v>
      </c>
      <c r="H26" s="1">
        <v>35.3</v>
      </c>
      <c r="I26" s="1">
        <v>18.9</v>
      </c>
      <c r="J26" s="1">
        <v>187.0</v>
      </c>
      <c r="K26" s="1">
        <v>3800.0</v>
      </c>
      <c r="L26" s="1" t="s">
        <v>20</v>
      </c>
    </row>
    <row r="27" ht="14.25" customHeight="1">
      <c r="A27" s="1" t="s">
        <v>12</v>
      </c>
      <c r="B27" s="1">
        <v>27.0</v>
      </c>
      <c r="C27" s="1" t="s">
        <v>13</v>
      </c>
      <c r="D27" s="1" t="s">
        <v>44</v>
      </c>
      <c r="E27" s="1" t="s">
        <v>52</v>
      </c>
      <c r="F27" s="1" t="s">
        <v>16</v>
      </c>
      <c r="G27" s="1" t="s">
        <v>40</v>
      </c>
      <c r="H27" s="1">
        <v>40.6</v>
      </c>
      <c r="I27" s="1">
        <v>18.6</v>
      </c>
      <c r="J27" s="1">
        <v>183.0</v>
      </c>
      <c r="K27" s="1">
        <v>3550.0</v>
      </c>
      <c r="L27" s="1" t="s">
        <v>18</v>
      </c>
    </row>
    <row r="28" ht="14.25" customHeight="1">
      <c r="A28" s="1" t="s">
        <v>12</v>
      </c>
      <c r="B28" s="1">
        <v>28.0</v>
      </c>
      <c r="C28" s="1" t="s">
        <v>13</v>
      </c>
      <c r="D28" s="1" t="s">
        <v>44</v>
      </c>
      <c r="E28" s="1" t="s">
        <v>53</v>
      </c>
      <c r="F28" s="1" t="s">
        <v>16</v>
      </c>
      <c r="G28" s="1" t="s">
        <v>40</v>
      </c>
      <c r="H28" s="1">
        <v>40.5</v>
      </c>
      <c r="I28" s="1">
        <v>17.9</v>
      </c>
      <c r="J28" s="1">
        <v>187.0</v>
      </c>
      <c r="K28" s="1">
        <v>3200.0</v>
      </c>
      <c r="L28" s="1" t="s">
        <v>20</v>
      </c>
    </row>
    <row r="29" ht="14.25" customHeight="1">
      <c r="A29" s="1" t="s">
        <v>12</v>
      </c>
      <c r="B29" s="1">
        <v>29.0</v>
      </c>
      <c r="C29" s="1" t="s">
        <v>13</v>
      </c>
      <c r="D29" s="1" t="s">
        <v>44</v>
      </c>
      <c r="E29" s="1" t="s">
        <v>54</v>
      </c>
      <c r="F29" s="1" t="s">
        <v>26</v>
      </c>
      <c r="G29" s="1" t="s">
        <v>50</v>
      </c>
      <c r="H29" s="1">
        <v>37.9</v>
      </c>
      <c r="I29" s="1">
        <v>18.6</v>
      </c>
      <c r="J29" s="1">
        <v>172.0</v>
      </c>
      <c r="K29" s="1">
        <v>3150.0</v>
      </c>
      <c r="L29" s="1" t="s">
        <v>20</v>
      </c>
    </row>
    <row r="30" ht="14.25" customHeight="1">
      <c r="A30" s="1" t="s">
        <v>12</v>
      </c>
      <c r="B30" s="1">
        <v>30.0</v>
      </c>
      <c r="C30" s="1" t="s">
        <v>13</v>
      </c>
      <c r="D30" s="1" t="s">
        <v>44</v>
      </c>
      <c r="E30" s="1" t="s">
        <v>55</v>
      </c>
      <c r="F30" s="1" t="s">
        <v>26</v>
      </c>
      <c r="G30" s="1" t="s">
        <v>50</v>
      </c>
      <c r="H30" s="1">
        <v>40.5</v>
      </c>
      <c r="I30" s="1">
        <v>18.9</v>
      </c>
      <c r="J30" s="1">
        <v>180.0</v>
      </c>
      <c r="K30" s="1">
        <v>3950.0</v>
      </c>
      <c r="L30" s="1" t="s">
        <v>18</v>
      </c>
    </row>
    <row r="31" ht="14.25" customHeight="1">
      <c r="A31" s="1" t="s">
        <v>12</v>
      </c>
      <c r="B31" s="1">
        <v>31.0</v>
      </c>
      <c r="C31" s="1" t="s">
        <v>13</v>
      </c>
      <c r="D31" s="1" t="s">
        <v>56</v>
      </c>
      <c r="E31" s="1" t="s">
        <v>57</v>
      </c>
      <c r="F31" s="1" t="s">
        <v>16</v>
      </c>
      <c r="G31" s="1" t="s">
        <v>30</v>
      </c>
      <c r="H31" s="1">
        <v>39.5</v>
      </c>
      <c r="I31" s="1">
        <v>16.7</v>
      </c>
      <c r="J31" s="1">
        <v>178.0</v>
      </c>
      <c r="K31" s="1">
        <v>3250.0</v>
      </c>
      <c r="L31" s="1" t="s">
        <v>20</v>
      </c>
    </row>
    <row r="32" ht="14.25" customHeight="1">
      <c r="A32" s="1" t="s">
        <v>12</v>
      </c>
      <c r="B32" s="1">
        <v>32.0</v>
      </c>
      <c r="C32" s="1" t="s">
        <v>13</v>
      </c>
      <c r="D32" s="1" t="s">
        <v>56</v>
      </c>
      <c r="E32" s="1" t="s">
        <v>58</v>
      </c>
      <c r="F32" s="1" t="s">
        <v>16</v>
      </c>
      <c r="G32" s="1" t="s">
        <v>30</v>
      </c>
      <c r="H32" s="1">
        <v>37.2</v>
      </c>
      <c r="I32" s="1">
        <v>18.1</v>
      </c>
      <c r="J32" s="1">
        <v>178.0</v>
      </c>
      <c r="K32" s="1">
        <v>3900.0</v>
      </c>
      <c r="L32" s="1" t="s">
        <v>18</v>
      </c>
    </row>
    <row r="33" ht="14.25" customHeight="1">
      <c r="A33" s="1" t="s">
        <v>12</v>
      </c>
      <c r="B33" s="1">
        <v>33.0</v>
      </c>
      <c r="C33" s="1" t="s">
        <v>13</v>
      </c>
      <c r="D33" s="1" t="s">
        <v>56</v>
      </c>
      <c r="E33" s="1" t="s">
        <v>59</v>
      </c>
      <c r="F33" s="1" t="s">
        <v>16</v>
      </c>
      <c r="G33" s="1" t="s">
        <v>30</v>
      </c>
      <c r="H33" s="1">
        <v>39.5</v>
      </c>
      <c r="I33" s="1">
        <v>17.8</v>
      </c>
      <c r="J33" s="1">
        <v>188.0</v>
      </c>
      <c r="K33" s="1">
        <v>3300.0</v>
      </c>
      <c r="L33" s="1" t="s">
        <v>20</v>
      </c>
    </row>
    <row r="34" ht="14.25" customHeight="1">
      <c r="A34" s="1" t="s">
        <v>12</v>
      </c>
      <c r="B34" s="1">
        <v>34.0</v>
      </c>
      <c r="C34" s="1" t="s">
        <v>13</v>
      </c>
      <c r="D34" s="1" t="s">
        <v>56</v>
      </c>
      <c r="E34" s="1" t="s">
        <v>60</v>
      </c>
      <c r="F34" s="1" t="s">
        <v>16</v>
      </c>
      <c r="G34" s="1" t="s">
        <v>30</v>
      </c>
      <c r="H34" s="1">
        <v>40.9</v>
      </c>
      <c r="I34" s="1">
        <v>18.9</v>
      </c>
      <c r="J34" s="1">
        <v>184.0</v>
      </c>
      <c r="K34" s="1">
        <v>3900.0</v>
      </c>
      <c r="L34" s="1" t="s">
        <v>18</v>
      </c>
    </row>
    <row r="35" ht="14.25" customHeight="1">
      <c r="A35" s="1" t="s">
        <v>12</v>
      </c>
      <c r="B35" s="1">
        <v>35.0</v>
      </c>
      <c r="C35" s="1" t="s">
        <v>13</v>
      </c>
      <c r="D35" s="1" t="s">
        <v>56</v>
      </c>
      <c r="E35" s="1" t="s">
        <v>61</v>
      </c>
      <c r="F35" s="1" t="s">
        <v>16</v>
      </c>
      <c r="G35" s="1" t="s">
        <v>22</v>
      </c>
      <c r="H35" s="1">
        <v>36.4</v>
      </c>
      <c r="I35" s="1">
        <v>17.0</v>
      </c>
      <c r="J35" s="1">
        <v>195.0</v>
      </c>
      <c r="K35" s="1">
        <v>3325.0</v>
      </c>
      <c r="L35" s="1" t="s">
        <v>20</v>
      </c>
    </row>
    <row r="36" ht="14.25" customHeight="1">
      <c r="A36" s="1" t="s">
        <v>12</v>
      </c>
      <c r="B36" s="1">
        <v>36.0</v>
      </c>
      <c r="C36" s="1" t="s">
        <v>13</v>
      </c>
      <c r="D36" s="1" t="s">
        <v>56</v>
      </c>
      <c r="E36" s="1" t="s">
        <v>62</v>
      </c>
      <c r="F36" s="1" t="s">
        <v>16</v>
      </c>
      <c r="G36" s="1" t="s">
        <v>22</v>
      </c>
      <c r="H36" s="1">
        <v>39.2</v>
      </c>
      <c r="I36" s="1">
        <v>21.1</v>
      </c>
      <c r="J36" s="1">
        <v>196.0</v>
      </c>
      <c r="K36" s="1">
        <v>4150.0</v>
      </c>
      <c r="L36" s="1" t="s">
        <v>18</v>
      </c>
    </row>
    <row r="37" ht="14.25" customHeight="1">
      <c r="A37" s="1" t="s">
        <v>12</v>
      </c>
      <c r="B37" s="1">
        <v>37.0</v>
      </c>
      <c r="C37" s="1" t="s">
        <v>13</v>
      </c>
      <c r="D37" s="1" t="s">
        <v>56</v>
      </c>
      <c r="E37" s="1" t="s">
        <v>63</v>
      </c>
      <c r="F37" s="1" t="s">
        <v>16</v>
      </c>
      <c r="G37" s="1" t="s">
        <v>22</v>
      </c>
      <c r="H37" s="1">
        <v>38.8</v>
      </c>
      <c r="I37" s="1">
        <v>20.0</v>
      </c>
      <c r="J37" s="1">
        <v>190.0</v>
      </c>
      <c r="K37" s="1">
        <v>3950.0</v>
      </c>
      <c r="L37" s="1" t="s">
        <v>18</v>
      </c>
    </row>
    <row r="38" ht="14.25" customHeight="1">
      <c r="A38" s="1" t="s">
        <v>12</v>
      </c>
      <c r="B38" s="1">
        <v>38.0</v>
      </c>
      <c r="C38" s="1" t="s">
        <v>13</v>
      </c>
      <c r="D38" s="1" t="s">
        <v>56</v>
      </c>
      <c r="E38" s="1" t="s">
        <v>64</v>
      </c>
      <c r="F38" s="1" t="s">
        <v>16</v>
      </c>
      <c r="G38" s="1" t="s">
        <v>22</v>
      </c>
      <c r="H38" s="1">
        <v>42.2</v>
      </c>
      <c r="I38" s="1">
        <v>18.5</v>
      </c>
      <c r="J38" s="1">
        <v>180.0</v>
      </c>
      <c r="K38" s="1">
        <v>3550.0</v>
      </c>
      <c r="L38" s="1" t="s">
        <v>20</v>
      </c>
    </row>
    <row r="39" ht="14.25" customHeight="1">
      <c r="A39" s="1" t="s">
        <v>12</v>
      </c>
      <c r="B39" s="1">
        <v>39.0</v>
      </c>
      <c r="C39" s="1" t="s">
        <v>13</v>
      </c>
      <c r="D39" s="1" t="s">
        <v>56</v>
      </c>
      <c r="E39" s="1" t="s">
        <v>65</v>
      </c>
      <c r="F39" s="1" t="s">
        <v>26</v>
      </c>
      <c r="G39" s="1" t="s">
        <v>66</v>
      </c>
      <c r="H39" s="1">
        <v>37.6</v>
      </c>
      <c r="I39" s="1">
        <v>19.3</v>
      </c>
      <c r="J39" s="1">
        <v>181.0</v>
      </c>
      <c r="K39" s="1">
        <v>3300.0</v>
      </c>
      <c r="L39" s="1" t="s">
        <v>20</v>
      </c>
    </row>
    <row r="40" ht="14.25" customHeight="1">
      <c r="A40" s="1" t="s">
        <v>12</v>
      </c>
      <c r="B40" s="1">
        <v>40.0</v>
      </c>
      <c r="C40" s="1" t="s">
        <v>13</v>
      </c>
      <c r="D40" s="1" t="s">
        <v>56</v>
      </c>
      <c r="E40" s="1" t="s">
        <v>67</v>
      </c>
      <c r="F40" s="1" t="s">
        <v>26</v>
      </c>
      <c r="G40" s="1" t="s">
        <v>66</v>
      </c>
      <c r="H40" s="1">
        <v>39.8</v>
      </c>
      <c r="I40" s="1">
        <v>19.1</v>
      </c>
      <c r="J40" s="1">
        <v>184.0</v>
      </c>
      <c r="K40" s="1">
        <v>4650.0</v>
      </c>
      <c r="L40" s="1" t="s">
        <v>18</v>
      </c>
    </row>
    <row r="41" ht="14.25" customHeight="1">
      <c r="A41" s="1" t="s">
        <v>12</v>
      </c>
      <c r="B41" s="1">
        <v>41.0</v>
      </c>
      <c r="C41" s="1" t="s">
        <v>13</v>
      </c>
      <c r="D41" s="1" t="s">
        <v>56</v>
      </c>
      <c r="E41" s="1" t="s">
        <v>68</v>
      </c>
      <c r="F41" s="1" t="s">
        <v>16</v>
      </c>
      <c r="G41" s="1" t="s">
        <v>22</v>
      </c>
      <c r="H41" s="1">
        <v>36.5</v>
      </c>
      <c r="I41" s="1">
        <v>18.0</v>
      </c>
      <c r="J41" s="1">
        <v>182.0</v>
      </c>
      <c r="K41" s="1">
        <v>3150.0</v>
      </c>
      <c r="L41" s="1" t="s">
        <v>20</v>
      </c>
    </row>
    <row r="42" ht="14.25" customHeight="1">
      <c r="A42" s="1" t="s">
        <v>12</v>
      </c>
      <c r="B42" s="1">
        <v>42.0</v>
      </c>
      <c r="C42" s="1" t="s">
        <v>13</v>
      </c>
      <c r="D42" s="1" t="s">
        <v>56</v>
      </c>
      <c r="E42" s="1" t="s">
        <v>69</v>
      </c>
      <c r="F42" s="1" t="s">
        <v>16</v>
      </c>
      <c r="G42" s="1" t="s">
        <v>22</v>
      </c>
      <c r="H42" s="1">
        <v>40.8</v>
      </c>
      <c r="I42" s="1">
        <v>18.4</v>
      </c>
      <c r="J42" s="1">
        <v>195.0</v>
      </c>
      <c r="K42" s="1">
        <v>3900.0</v>
      </c>
      <c r="L42" s="1" t="s">
        <v>18</v>
      </c>
    </row>
    <row r="43" ht="14.25" customHeight="1">
      <c r="A43" s="1" t="s">
        <v>12</v>
      </c>
      <c r="B43" s="1">
        <v>43.0</v>
      </c>
      <c r="C43" s="1" t="s">
        <v>13</v>
      </c>
      <c r="D43" s="1" t="s">
        <v>56</v>
      </c>
      <c r="E43" s="1" t="s">
        <v>70</v>
      </c>
      <c r="F43" s="1" t="s">
        <v>16</v>
      </c>
      <c r="G43" s="1" t="s">
        <v>71</v>
      </c>
      <c r="H43" s="1">
        <v>36.0</v>
      </c>
      <c r="I43" s="1">
        <v>18.5</v>
      </c>
      <c r="J43" s="1">
        <v>186.0</v>
      </c>
      <c r="K43" s="1">
        <v>3100.0</v>
      </c>
      <c r="L43" s="1" t="s">
        <v>20</v>
      </c>
    </row>
    <row r="44" ht="14.25" customHeight="1">
      <c r="A44" s="1" t="s">
        <v>12</v>
      </c>
      <c r="B44" s="1">
        <v>44.0</v>
      </c>
      <c r="C44" s="1" t="s">
        <v>13</v>
      </c>
      <c r="D44" s="1" t="s">
        <v>56</v>
      </c>
      <c r="E44" s="1" t="s">
        <v>72</v>
      </c>
      <c r="F44" s="1" t="s">
        <v>16</v>
      </c>
      <c r="G44" s="1" t="s">
        <v>71</v>
      </c>
      <c r="H44" s="1">
        <v>44.1</v>
      </c>
      <c r="I44" s="1">
        <v>19.7</v>
      </c>
      <c r="J44" s="1">
        <v>196.0</v>
      </c>
      <c r="K44" s="1">
        <v>4400.0</v>
      </c>
      <c r="L44" s="1" t="s">
        <v>18</v>
      </c>
    </row>
    <row r="45" ht="14.25" customHeight="1">
      <c r="A45" s="1" t="s">
        <v>12</v>
      </c>
      <c r="B45" s="1">
        <v>45.0</v>
      </c>
      <c r="C45" s="1" t="s">
        <v>13</v>
      </c>
      <c r="D45" s="1" t="s">
        <v>56</v>
      </c>
      <c r="E45" s="1" t="s">
        <v>73</v>
      </c>
      <c r="F45" s="1" t="s">
        <v>16</v>
      </c>
      <c r="G45" s="1" t="s">
        <v>22</v>
      </c>
      <c r="H45" s="1">
        <v>37.0</v>
      </c>
      <c r="I45" s="1">
        <v>16.9</v>
      </c>
      <c r="J45" s="1">
        <v>185.0</v>
      </c>
      <c r="K45" s="1">
        <v>3000.0</v>
      </c>
      <c r="L45" s="1" t="s">
        <v>20</v>
      </c>
    </row>
    <row r="46" ht="14.25" customHeight="1">
      <c r="A46" s="1" t="s">
        <v>12</v>
      </c>
      <c r="B46" s="1">
        <v>46.0</v>
      </c>
      <c r="C46" s="1" t="s">
        <v>13</v>
      </c>
      <c r="D46" s="1" t="s">
        <v>56</v>
      </c>
      <c r="E46" s="1" t="s">
        <v>74</v>
      </c>
      <c r="F46" s="1" t="s">
        <v>16</v>
      </c>
      <c r="G46" s="1" t="s">
        <v>22</v>
      </c>
      <c r="H46" s="1">
        <v>39.6</v>
      </c>
      <c r="I46" s="1">
        <v>18.8</v>
      </c>
      <c r="J46" s="1">
        <v>190.0</v>
      </c>
      <c r="K46" s="1">
        <v>4600.0</v>
      </c>
      <c r="L46" s="1" t="s">
        <v>18</v>
      </c>
    </row>
    <row r="47" ht="14.25" customHeight="1">
      <c r="A47" s="1" t="s">
        <v>12</v>
      </c>
      <c r="B47" s="1">
        <v>47.0</v>
      </c>
      <c r="C47" s="1" t="s">
        <v>13</v>
      </c>
      <c r="D47" s="1" t="s">
        <v>56</v>
      </c>
      <c r="E47" s="1" t="s">
        <v>75</v>
      </c>
      <c r="F47" s="1" t="s">
        <v>16</v>
      </c>
      <c r="G47" s="1" t="s">
        <v>66</v>
      </c>
      <c r="H47" s="1">
        <v>41.1</v>
      </c>
      <c r="I47" s="1">
        <v>19.0</v>
      </c>
      <c r="J47" s="1">
        <v>182.0</v>
      </c>
      <c r="K47" s="1">
        <v>3425.0</v>
      </c>
      <c r="L47" s="1" t="s">
        <v>18</v>
      </c>
    </row>
    <row r="48" ht="14.25" customHeight="1">
      <c r="A48" s="1" t="s">
        <v>12</v>
      </c>
      <c r="B48" s="1">
        <v>48.0</v>
      </c>
      <c r="C48" s="1" t="s">
        <v>13</v>
      </c>
      <c r="D48" s="1" t="s">
        <v>56</v>
      </c>
      <c r="E48" s="1" t="s">
        <v>76</v>
      </c>
      <c r="F48" s="1" t="s">
        <v>16</v>
      </c>
      <c r="G48" s="1" t="s">
        <v>66</v>
      </c>
      <c r="H48" s="1">
        <v>37.5</v>
      </c>
      <c r="I48" s="1">
        <v>18.9</v>
      </c>
      <c r="J48" s="1">
        <v>179.0</v>
      </c>
      <c r="K48" s="1">
        <v>2975.0</v>
      </c>
      <c r="L48" s="1" t="s">
        <v>31</v>
      </c>
    </row>
    <row r="49" ht="14.25" customHeight="1">
      <c r="A49" s="1" t="s">
        <v>12</v>
      </c>
      <c r="B49" s="1">
        <v>49.0</v>
      </c>
      <c r="C49" s="1" t="s">
        <v>13</v>
      </c>
      <c r="D49" s="1" t="s">
        <v>56</v>
      </c>
      <c r="E49" s="1" t="s">
        <v>77</v>
      </c>
      <c r="F49" s="1" t="s">
        <v>16</v>
      </c>
      <c r="G49" s="1" t="s">
        <v>66</v>
      </c>
      <c r="H49" s="1">
        <v>36.0</v>
      </c>
      <c r="I49" s="1">
        <v>17.9</v>
      </c>
      <c r="J49" s="1">
        <v>190.0</v>
      </c>
      <c r="K49" s="1">
        <v>3450.0</v>
      </c>
      <c r="L49" s="1" t="s">
        <v>20</v>
      </c>
    </row>
    <row r="50" ht="14.25" customHeight="1">
      <c r="A50" s="1" t="s">
        <v>12</v>
      </c>
      <c r="B50" s="1">
        <v>50.0</v>
      </c>
      <c r="C50" s="1" t="s">
        <v>13</v>
      </c>
      <c r="D50" s="1" t="s">
        <v>56</v>
      </c>
      <c r="E50" s="1" t="s">
        <v>78</v>
      </c>
      <c r="F50" s="1" t="s">
        <v>16</v>
      </c>
      <c r="G50" s="1" t="s">
        <v>66</v>
      </c>
      <c r="H50" s="1">
        <v>42.3</v>
      </c>
      <c r="I50" s="1">
        <v>21.2</v>
      </c>
      <c r="J50" s="1">
        <v>191.0</v>
      </c>
      <c r="K50" s="1">
        <v>4150.0</v>
      </c>
      <c r="L50" s="1" t="s">
        <v>18</v>
      </c>
    </row>
    <row r="51" ht="14.25" customHeight="1">
      <c r="A51" s="1" t="s">
        <v>79</v>
      </c>
      <c r="B51" s="1">
        <v>51.0</v>
      </c>
      <c r="C51" s="1" t="s">
        <v>13</v>
      </c>
      <c r="D51" s="1" t="s">
        <v>44</v>
      </c>
      <c r="E51" s="1" t="s">
        <v>57</v>
      </c>
      <c r="F51" s="1" t="s">
        <v>16</v>
      </c>
      <c r="G51" s="1" t="s">
        <v>80</v>
      </c>
      <c r="H51" s="1">
        <v>39.6</v>
      </c>
      <c r="I51" s="1">
        <v>17.7</v>
      </c>
      <c r="J51" s="1">
        <v>186.0</v>
      </c>
      <c r="K51" s="1">
        <v>3500.0</v>
      </c>
      <c r="L51" s="1" t="s">
        <v>20</v>
      </c>
    </row>
    <row r="52" ht="14.25" customHeight="1">
      <c r="A52" s="1" t="s">
        <v>79</v>
      </c>
      <c r="B52" s="1">
        <v>52.0</v>
      </c>
      <c r="C52" s="1" t="s">
        <v>13</v>
      </c>
      <c r="D52" s="1" t="s">
        <v>44</v>
      </c>
      <c r="E52" s="1" t="s">
        <v>58</v>
      </c>
      <c r="F52" s="1" t="s">
        <v>16</v>
      </c>
      <c r="G52" s="1" t="s">
        <v>80</v>
      </c>
      <c r="H52" s="1">
        <v>40.1</v>
      </c>
      <c r="I52" s="1">
        <v>18.9</v>
      </c>
      <c r="J52" s="1">
        <v>188.0</v>
      </c>
      <c r="K52" s="1">
        <v>4300.0</v>
      </c>
      <c r="L52" s="1" t="s">
        <v>18</v>
      </c>
    </row>
    <row r="53" ht="14.25" customHeight="1">
      <c r="A53" s="1" t="s">
        <v>79</v>
      </c>
      <c r="B53" s="1">
        <v>53.0</v>
      </c>
      <c r="C53" s="1" t="s">
        <v>13</v>
      </c>
      <c r="D53" s="1" t="s">
        <v>44</v>
      </c>
      <c r="E53" s="1" t="s">
        <v>59</v>
      </c>
      <c r="F53" s="1" t="s">
        <v>16</v>
      </c>
      <c r="G53" s="1" t="s">
        <v>81</v>
      </c>
      <c r="H53" s="1">
        <v>35.0</v>
      </c>
      <c r="I53" s="1">
        <v>17.9</v>
      </c>
      <c r="J53" s="1">
        <v>190.0</v>
      </c>
      <c r="K53" s="1">
        <v>3450.0</v>
      </c>
      <c r="L53" s="1" t="s">
        <v>20</v>
      </c>
    </row>
    <row r="54" ht="14.25" customHeight="1">
      <c r="A54" s="1" t="s">
        <v>79</v>
      </c>
      <c r="B54" s="1">
        <v>54.0</v>
      </c>
      <c r="C54" s="1" t="s">
        <v>13</v>
      </c>
      <c r="D54" s="1" t="s">
        <v>44</v>
      </c>
      <c r="E54" s="1" t="s">
        <v>60</v>
      </c>
      <c r="F54" s="1" t="s">
        <v>16</v>
      </c>
      <c r="G54" s="1" t="s">
        <v>81</v>
      </c>
      <c r="H54" s="1">
        <v>42.0</v>
      </c>
      <c r="I54" s="1">
        <v>19.5</v>
      </c>
      <c r="J54" s="1">
        <v>200.0</v>
      </c>
      <c r="K54" s="1">
        <v>4050.0</v>
      </c>
      <c r="L54" s="1" t="s">
        <v>18</v>
      </c>
    </row>
    <row r="55" ht="14.25" customHeight="1">
      <c r="A55" s="1" t="s">
        <v>79</v>
      </c>
      <c r="B55" s="1">
        <v>55.0</v>
      </c>
      <c r="C55" s="1" t="s">
        <v>13</v>
      </c>
      <c r="D55" s="1" t="s">
        <v>44</v>
      </c>
      <c r="E55" s="1" t="s">
        <v>61</v>
      </c>
      <c r="F55" s="1" t="s">
        <v>16</v>
      </c>
      <c r="G55" s="1" t="s">
        <v>81</v>
      </c>
      <c r="H55" s="1">
        <v>34.5</v>
      </c>
      <c r="I55" s="1">
        <v>18.1</v>
      </c>
      <c r="J55" s="1">
        <v>187.0</v>
      </c>
      <c r="K55" s="1">
        <v>2900.0</v>
      </c>
      <c r="L55" s="1" t="s">
        <v>20</v>
      </c>
    </row>
    <row r="56" ht="14.25" customHeight="1">
      <c r="A56" s="1" t="s">
        <v>79</v>
      </c>
      <c r="B56" s="1">
        <v>56.0</v>
      </c>
      <c r="C56" s="1" t="s">
        <v>13</v>
      </c>
      <c r="D56" s="1" t="s">
        <v>44</v>
      </c>
      <c r="E56" s="1" t="s">
        <v>62</v>
      </c>
      <c r="F56" s="1" t="s">
        <v>16</v>
      </c>
      <c r="G56" s="1" t="s">
        <v>81</v>
      </c>
      <c r="H56" s="1">
        <v>41.4</v>
      </c>
      <c r="I56" s="1">
        <v>18.6</v>
      </c>
      <c r="J56" s="1">
        <v>191.0</v>
      </c>
      <c r="K56" s="1">
        <v>3700.0</v>
      </c>
      <c r="L56" s="1" t="s">
        <v>18</v>
      </c>
    </row>
    <row r="57" ht="14.25" customHeight="1">
      <c r="A57" s="1" t="s">
        <v>79</v>
      </c>
      <c r="B57" s="1">
        <v>57.0</v>
      </c>
      <c r="C57" s="1" t="s">
        <v>13</v>
      </c>
      <c r="D57" s="1" t="s">
        <v>44</v>
      </c>
      <c r="E57" s="1" t="s">
        <v>63</v>
      </c>
      <c r="F57" s="1" t="s">
        <v>16</v>
      </c>
      <c r="G57" s="1" t="s">
        <v>82</v>
      </c>
      <c r="H57" s="1">
        <v>39.0</v>
      </c>
      <c r="I57" s="1">
        <v>17.5</v>
      </c>
      <c r="J57" s="1">
        <v>186.0</v>
      </c>
      <c r="K57" s="1">
        <v>3550.0</v>
      </c>
      <c r="L57" s="1" t="s">
        <v>20</v>
      </c>
    </row>
    <row r="58" ht="14.25" customHeight="1">
      <c r="A58" s="1" t="s">
        <v>79</v>
      </c>
      <c r="B58" s="1">
        <v>58.0</v>
      </c>
      <c r="C58" s="1" t="s">
        <v>13</v>
      </c>
      <c r="D58" s="1" t="s">
        <v>44</v>
      </c>
      <c r="E58" s="1" t="s">
        <v>64</v>
      </c>
      <c r="F58" s="1" t="s">
        <v>16</v>
      </c>
      <c r="G58" s="1" t="s">
        <v>82</v>
      </c>
      <c r="H58" s="1">
        <v>40.6</v>
      </c>
      <c r="I58" s="1">
        <v>18.8</v>
      </c>
      <c r="J58" s="1">
        <v>193.0</v>
      </c>
      <c r="K58" s="1">
        <v>3800.0</v>
      </c>
      <c r="L58" s="1" t="s">
        <v>18</v>
      </c>
    </row>
    <row r="59" ht="14.25" customHeight="1">
      <c r="A59" s="1" t="s">
        <v>79</v>
      </c>
      <c r="B59" s="1">
        <v>59.0</v>
      </c>
      <c r="C59" s="1" t="s">
        <v>13</v>
      </c>
      <c r="D59" s="1" t="s">
        <v>44</v>
      </c>
      <c r="E59" s="1" t="s">
        <v>65</v>
      </c>
      <c r="F59" s="1" t="s">
        <v>16</v>
      </c>
      <c r="G59" s="1" t="s">
        <v>82</v>
      </c>
      <c r="H59" s="1">
        <v>36.5</v>
      </c>
      <c r="I59" s="1">
        <v>16.6</v>
      </c>
      <c r="J59" s="1">
        <v>181.0</v>
      </c>
      <c r="K59" s="1">
        <v>2850.0</v>
      </c>
      <c r="L59" s="1" t="s">
        <v>20</v>
      </c>
    </row>
    <row r="60" ht="14.25" customHeight="1">
      <c r="A60" s="1" t="s">
        <v>79</v>
      </c>
      <c r="B60" s="1">
        <v>60.0</v>
      </c>
      <c r="C60" s="1" t="s">
        <v>13</v>
      </c>
      <c r="D60" s="1" t="s">
        <v>44</v>
      </c>
      <c r="E60" s="1" t="s">
        <v>67</v>
      </c>
      <c r="F60" s="1" t="s">
        <v>16</v>
      </c>
      <c r="G60" s="1" t="s">
        <v>82</v>
      </c>
      <c r="H60" s="1">
        <v>37.6</v>
      </c>
      <c r="I60" s="1">
        <v>19.1</v>
      </c>
      <c r="J60" s="1">
        <v>194.0</v>
      </c>
      <c r="K60" s="1">
        <v>3750.0</v>
      </c>
      <c r="L60" s="1" t="s">
        <v>18</v>
      </c>
    </row>
    <row r="61" ht="14.25" customHeight="1">
      <c r="A61" s="1" t="s">
        <v>79</v>
      </c>
      <c r="B61" s="1">
        <v>61.0</v>
      </c>
      <c r="C61" s="1" t="s">
        <v>13</v>
      </c>
      <c r="D61" s="1" t="s">
        <v>44</v>
      </c>
      <c r="E61" s="1" t="s">
        <v>70</v>
      </c>
      <c r="F61" s="1" t="s">
        <v>16</v>
      </c>
      <c r="G61" s="1" t="s">
        <v>83</v>
      </c>
      <c r="H61" s="1">
        <v>35.7</v>
      </c>
      <c r="I61" s="1">
        <v>16.9</v>
      </c>
      <c r="J61" s="1">
        <v>185.0</v>
      </c>
      <c r="K61" s="1">
        <v>3150.0</v>
      </c>
      <c r="L61" s="1" t="s">
        <v>20</v>
      </c>
    </row>
    <row r="62" ht="14.25" customHeight="1">
      <c r="A62" s="1" t="s">
        <v>79</v>
      </c>
      <c r="B62" s="1">
        <v>62.0</v>
      </c>
      <c r="C62" s="1" t="s">
        <v>13</v>
      </c>
      <c r="D62" s="1" t="s">
        <v>44</v>
      </c>
      <c r="E62" s="1" t="s">
        <v>72</v>
      </c>
      <c r="F62" s="1" t="s">
        <v>16</v>
      </c>
      <c r="G62" s="1" t="s">
        <v>83</v>
      </c>
      <c r="H62" s="1">
        <v>41.3</v>
      </c>
      <c r="I62" s="1">
        <v>21.1</v>
      </c>
      <c r="J62" s="1">
        <v>195.0</v>
      </c>
      <c r="K62" s="1">
        <v>4400.0</v>
      </c>
      <c r="L62" s="1" t="s">
        <v>18</v>
      </c>
    </row>
    <row r="63" ht="14.25" customHeight="1">
      <c r="A63" s="1" t="s">
        <v>79</v>
      </c>
      <c r="B63" s="1">
        <v>63.0</v>
      </c>
      <c r="C63" s="1" t="s">
        <v>13</v>
      </c>
      <c r="D63" s="1" t="s">
        <v>44</v>
      </c>
      <c r="E63" s="1" t="s">
        <v>73</v>
      </c>
      <c r="F63" s="1" t="s">
        <v>16</v>
      </c>
      <c r="G63" s="1" t="s">
        <v>83</v>
      </c>
      <c r="H63" s="1">
        <v>37.6</v>
      </c>
      <c r="I63" s="1">
        <v>17.0</v>
      </c>
      <c r="J63" s="1">
        <v>185.0</v>
      </c>
      <c r="K63" s="1">
        <v>3600.0</v>
      </c>
      <c r="L63" s="1" t="s">
        <v>20</v>
      </c>
    </row>
    <row r="64" ht="14.25" customHeight="1">
      <c r="A64" s="1" t="s">
        <v>79</v>
      </c>
      <c r="B64" s="1">
        <v>64.0</v>
      </c>
      <c r="C64" s="1" t="s">
        <v>13</v>
      </c>
      <c r="D64" s="1" t="s">
        <v>44</v>
      </c>
      <c r="E64" s="1" t="s">
        <v>74</v>
      </c>
      <c r="F64" s="1" t="s">
        <v>16</v>
      </c>
      <c r="G64" s="1" t="s">
        <v>83</v>
      </c>
      <c r="H64" s="1">
        <v>41.1</v>
      </c>
      <c r="I64" s="1">
        <v>18.2</v>
      </c>
      <c r="J64" s="1">
        <v>192.0</v>
      </c>
      <c r="K64" s="1">
        <v>4050.0</v>
      </c>
      <c r="L64" s="1" t="s">
        <v>18</v>
      </c>
    </row>
    <row r="65" ht="14.25" customHeight="1">
      <c r="A65" s="1" t="s">
        <v>79</v>
      </c>
      <c r="B65" s="1">
        <v>65.0</v>
      </c>
      <c r="C65" s="1" t="s">
        <v>13</v>
      </c>
      <c r="D65" s="1" t="s">
        <v>44</v>
      </c>
      <c r="E65" s="1" t="s">
        <v>75</v>
      </c>
      <c r="F65" s="1" t="s">
        <v>16</v>
      </c>
      <c r="G65" s="1" t="s">
        <v>83</v>
      </c>
      <c r="H65" s="1">
        <v>36.4</v>
      </c>
      <c r="I65" s="1">
        <v>17.1</v>
      </c>
      <c r="J65" s="1">
        <v>184.0</v>
      </c>
      <c r="K65" s="1">
        <v>2850.0</v>
      </c>
      <c r="L65" s="1" t="s">
        <v>20</v>
      </c>
    </row>
    <row r="66" ht="14.25" customHeight="1">
      <c r="A66" s="1" t="s">
        <v>79</v>
      </c>
      <c r="B66" s="1">
        <v>66.0</v>
      </c>
      <c r="C66" s="1" t="s">
        <v>13</v>
      </c>
      <c r="D66" s="1" t="s">
        <v>44</v>
      </c>
      <c r="E66" s="1" t="s">
        <v>76</v>
      </c>
      <c r="F66" s="1" t="s">
        <v>16</v>
      </c>
      <c r="G66" s="1" t="s">
        <v>83</v>
      </c>
      <c r="H66" s="1">
        <v>41.6</v>
      </c>
      <c r="I66" s="1">
        <v>18.0</v>
      </c>
      <c r="J66" s="1">
        <v>192.0</v>
      </c>
      <c r="K66" s="1">
        <v>3950.0</v>
      </c>
      <c r="L66" s="1" t="s">
        <v>18</v>
      </c>
    </row>
    <row r="67" ht="14.25" customHeight="1">
      <c r="A67" s="1" t="s">
        <v>79</v>
      </c>
      <c r="B67" s="1">
        <v>67.0</v>
      </c>
      <c r="C67" s="1" t="s">
        <v>13</v>
      </c>
      <c r="D67" s="1" t="s">
        <v>44</v>
      </c>
      <c r="E67" s="1" t="s">
        <v>77</v>
      </c>
      <c r="F67" s="1" t="s">
        <v>16</v>
      </c>
      <c r="G67" s="1" t="s">
        <v>80</v>
      </c>
      <c r="H67" s="1">
        <v>35.5</v>
      </c>
      <c r="I67" s="1">
        <v>16.2</v>
      </c>
      <c r="J67" s="1">
        <v>195.0</v>
      </c>
      <c r="K67" s="1">
        <v>3350.0</v>
      </c>
      <c r="L67" s="1" t="s">
        <v>20</v>
      </c>
    </row>
    <row r="68" ht="14.25" customHeight="1">
      <c r="A68" s="1" t="s">
        <v>79</v>
      </c>
      <c r="B68" s="1">
        <v>68.0</v>
      </c>
      <c r="C68" s="1" t="s">
        <v>13</v>
      </c>
      <c r="D68" s="1" t="s">
        <v>44</v>
      </c>
      <c r="E68" s="1" t="s">
        <v>78</v>
      </c>
      <c r="F68" s="1" t="s">
        <v>16</v>
      </c>
      <c r="G68" s="1" t="s">
        <v>80</v>
      </c>
      <c r="H68" s="1">
        <v>41.1</v>
      </c>
      <c r="I68" s="1">
        <v>19.1</v>
      </c>
      <c r="J68" s="1">
        <v>188.0</v>
      </c>
      <c r="K68" s="1">
        <v>4100.0</v>
      </c>
      <c r="L68" s="1" t="s">
        <v>18</v>
      </c>
    </row>
    <row r="69" ht="14.25" customHeight="1">
      <c r="A69" s="1" t="s">
        <v>79</v>
      </c>
      <c r="B69" s="1">
        <v>69.0</v>
      </c>
      <c r="C69" s="1" t="s">
        <v>13</v>
      </c>
      <c r="D69" s="1" t="s">
        <v>14</v>
      </c>
      <c r="E69" s="1" t="s">
        <v>84</v>
      </c>
      <c r="F69" s="1" t="s">
        <v>26</v>
      </c>
      <c r="G69" s="1" t="s">
        <v>85</v>
      </c>
      <c r="H69" s="1">
        <v>35.9</v>
      </c>
      <c r="I69" s="1">
        <v>16.6</v>
      </c>
      <c r="J69" s="1">
        <v>190.0</v>
      </c>
      <c r="K69" s="1">
        <v>3050.0</v>
      </c>
      <c r="L69" s="1" t="s">
        <v>20</v>
      </c>
    </row>
    <row r="70" ht="14.25" customHeight="1">
      <c r="A70" s="1" t="s">
        <v>79</v>
      </c>
      <c r="B70" s="1">
        <v>70.0</v>
      </c>
      <c r="C70" s="1" t="s">
        <v>13</v>
      </c>
      <c r="D70" s="1" t="s">
        <v>14</v>
      </c>
      <c r="E70" s="1" t="s">
        <v>86</v>
      </c>
      <c r="F70" s="1" t="s">
        <v>26</v>
      </c>
      <c r="G70" s="1" t="s">
        <v>85</v>
      </c>
      <c r="H70" s="1">
        <v>41.8</v>
      </c>
      <c r="I70" s="1">
        <v>19.4</v>
      </c>
      <c r="J70" s="1">
        <v>198.0</v>
      </c>
      <c r="K70" s="1">
        <v>4450.0</v>
      </c>
      <c r="L70" s="1" t="s">
        <v>18</v>
      </c>
    </row>
    <row r="71" ht="14.25" customHeight="1">
      <c r="A71" s="1" t="s">
        <v>79</v>
      </c>
      <c r="B71" s="1">
        <v>71.0</v>
      </c>
      <c r="C71" s="1" t="s">
        <v>13</v>
      </c>
      <c r="D71" s="1" t="s">
        <v>14</v>
      </c>
      <c r="E71" s="1" t="s">
        <v>87</v>
      </c>
      <c r="F71" s="1" t="s">
        <v>16</v>
      </c>
      <c r="G71" s="1" t="s">
        <v>88</v>
      </c>
      <c r="H71" s="1">
        <v>33.5</v>
      </c>
      <c r="I71" s="1">
        <v>19.0</v>
      </c>
      <c r="J71" s="1">
        <v>190.0</v>
      </c>
      <c r="K71" s="1">
        <v>3600.0</v>
      </c>
      <c r="L71" s="1" t="s">
        <v>20</v>
      </c>
    </row>
    <row r="72" ht="14.25" customHeight="1">
      <c r="A72" s="1" t="s">
        <v>79</v>
      </c>
      <c r="B72" s="1">
        <v>72.0</v>
      </c>
      <c r="C72" s="1" t="s">
        <v>13</v>
      </c>
      <c r="D72" s="1" t="s">
        <v>14</v>
      </c>
      <c r="E72" s="1" t="s">
        <v>89</v>
      </c>
      <c r="F72" s="1" t="s">
        <v>16</v>
      </c>
      <c r="G72" s="1" t="s">
        <v>88</v>
      </c>
      <c r="H72" s="1">
        <v>39.7</v>
      </c>
      <c r="I72" s="1">
        <v>18.4</v>
      </c>
      <c r="J72" s="1">
        <v>190.0</v>
      </c>
      <c r="K72" s="1">
        <v>3900.0</v>
      </c>
      <c r="L72" s="1" t="s">
        <v>18</v>
      </c>
    </row>
    <row r="73" ht="14.25" customHeight="1">
      <c r="A73" s="1" t="s">
        <v>79</v>
      </c>
      <c r="B73" s="1">
        <v>73.0</v>
      </c>
      <c r="C73" s="1" t="s">
        <v>13</v>
      </c>
      <c r="D73" s="1" t="s">
        <v>14</v>
      </c>
      <c r="E73" s="1" t="s">
        <v>90</v>
      </c>
      <c r="F73" s="1" t="s">
        <v>16</v>
      </c>
      <c r="G73" s="1" t="s">
        <v>85</v>
      </c>
      <c r="H73" s="1">
        <v>39.6</v>
      </c>
      <c r="I73" s="1">
        <v>17.2</v>
      </c>
      <c r="J73" s="1">
        <v>196.0</v>
      </c>
      <c r="K73" s="1">
        <v>3550.0</v>
      </c>
      <c r="L73" s="1" t="s">
        <v>20</v>
      </c>
    </row>
    <row r="74" ht="14.25" customHeight="1">
      <c r="A74" s="1" t="s">
        <v>79</v>
      </c>
      <c r="B74" s="1">
        <v>74.0</v>
      </c>
      <c r="C74" s="1" t="s">
        <v>13</v>
      </c>
      <c r="D74" s="1" t="s">
        <v>14</v>
      </c>
      <c r="E74" s="1" t="s">
        <v>91</v>
      </c>
      <c r="F74" s="1" t="s">
        <v>16</v>
      </c>
      <c r="G74" s="1" t="s">
        <v>85</v>
      </c>
      <c r="H74" s="1">
        <v>45.8</v>
      </c>
      <c r="I74" s="1">
        <v>18.9</v>
      </c>
      <c r="J74" s="1">
        <v>197.0</v>
      </c>
      <c r="K74" s="1">
        <v>4150.0</v>
      </c>
      <c r="L74" s="1" t="s">
        <v>18</v>
      </c>
    </row>
    <row r="75" ht="14.25" customHeight="1">
      <c r="A75" s="1" t="s">
        <v>79</v>
      </c>
      <c r="B75" s="1">
        <v>75.0</v>
      </c>
      <c r="C75" s="1" t="s">
        <v>13</v>
      </c>
      <c r="D75" s="1" t="s">
        <v>14</v>
      </c>
      <c r="E75" s="1" t="s">
        <v>92</v>
      </c>
      <c r="F75" s="1" t="s">
        <v>16</v>
      </c>
      <c r="G75" s="1" t="s">
        <v>93</v>
      </c>
      <c r="H75" s="1">
        <v>35.5</v>
      </c>
      <c r="I75" s="1">
        <v>17.5</v>
      </c>
      <c r="J75" s="1">
        <v>190.0</v>
      </c>
      <c r="K75" s="1">
        <v>3700.0</v>
      </c>
      <c r="L75" s="1" t="s">
        <v>20</v>
      </c>
    </row>
    <row r="76" ht="14.25" customHeight="1">
      <c r="A76" s="1" t="s">
        <v>79</v>
      </c>
      <c r="B76" s="1">
        <v>76.0</v>
      </c>
      <c r="C76" s="1" t="s">
        <v>13</v>
      </c>
      <c r="D76" s="1" t="s">
        <v>14</v>
      </c>
      <c r="E76" s="1" t="s">
        <v>94</v>
      </c>
      <c r="F76" s="1" t="s">
        <v>16</v>
      </c>
      <c r="G76" s="1" t="s">
        <v>93</v>
      </c>
      <c r="H76" s="1">
        <v>42.8</v>
      </c>
      <c r="I76" s="1">
        <v>18.5</v>
      </c>
      <c r="J76" s="1">
        <v>195.0</v>
      </c>
      <c r="K76" s="1">
        <v>4250.0</v>
      </c>
      <c r="L76" s="1" t="s">
        <v>18</v>
      </c>
    </row>
    <row r="77" ht="14.25" customHeight="1">
      <c r="A77" s="1" t="s">
        <v>79</v>
      </c>
      <c r="B77" s="1">
        <v>77.0</v>
      </c>
      <c r="C77" s="1" t="s">
        <v>13</v>
      </c>
      <c r="D77" s="1" t="s">
        <v>14</v>
      </c>
      <c r="E77" s="1" t="s">
        <v>95</v>
      </c>
      <c r="F77" s="1" t="s">
        <v>16</v>
      </c>
      <c r="G77" s="1" t="s">
        <v>80</v>
      </c>
      <c r="H77" s="1">
        <v>40.9</v>
      </c>
      <c r="I77" s="1">
        <v>16.8</v>
      </c>
      <c r="J77" s="1">
        <v>191.0</v>
      </c>
      <c r="K77" s="1">
        <v>3700.0</v>
      </c>
      <c r="L77" s="1" t="s">
        <v>20</v>
      </c>
    </row>
    <row r="78" ht="14.25" customHeight="1">
      <c r="A78" s="1" t="s">
        <v>79</v>
      </c>
      <c r="B78" s="1">
        <v>78.0</v>
      </c>
      <c r="C78" s="1" t="s">
        <v>13</v>
      </c>
      <c r="D78" s="1" t="s">
        <v>14</v>
      </c>
      <c r="E78" s="1" t="s">
        <v>96</v>
      </c>
      <c r="F78" s="1" t="s">
        <v>16</v>
      </c>
      <c r="G78" s="1" t="s">
        <v>80</v>
      </c>
      <c r="H78" s="1">
        <v>37.2</v>
      </c>
      <c r="I78" s="1">
        <v>19.4</v>
      </c>
      <c r="J78" s="1">
        <v>184.0</v>
      </c>
      <c r="K78" s="1">
        <v>3900.0</v>
      </c>
      <c r="L78" s="1" t="s">
        <v>18</v>
      </c>
    </row>
    <row r="79" ht="14.25" customHeight="1">
      <c r="A79" s="1" t="s">
        <v>79</v>
      </c>
      <c r="B79" s="1">
        <v>79.0</v>
      </c>
      <c r="C79" s="1" t="s">
        <v>13</v>
      </c>
      <c r="D79" s="1" t="s">
        <v>14</v>
      </c>
      <c r="E79" s="1" t="s">
        <v>97</v>
      </c>
      <c r="F79" s="1" t="s">
        <v>16</v>
      </c>
      <c r="G79" s="1" t="s">
        <v>81</v>
      </c>
      <c r="H79" s="1">
        <v>36.2</v>
      </c>
      <c r="I79" s="1">
        <v>16.1</v>
      </c>
      <c r="J79" s="1">
        <v>187.0</v>
      </c>
      <c r="K79" s="1">
        <v>3550.0</v>
      </c>
      <c r="L79" s="1" t="s">
        <v>20</v>
      </c>
    </row>
    <row r="80" ht="14.25" customHeight="1">
      <c r="A80" s="1" t="s">
        <v>79</v>
      </c>
      <c r="B80" s="1">
        <v>80.0</v>
      </c>
      <c r="C80" s="1" t="s">
        <v>13</v>
      </c>
      <c r="D80" s="1" t="s">
        <v>14</v>
      </c>
      <c r="E80" s="1" t="s">
        <v>98</v>
      </c>
      <c r="F80" s="1" t="s">
        <v>16</v>
      </c>
      <c r="G80" s="1" t="s">
        <v>81</v>
      </c>
      <c r="H80" s="1">
        <v>42.1</v>
      </c>
      <c r="I80" s="1">
        <v>19.1</v>
      </c>
      <c r="J80" s="1">
        <v>195.0</v>
      </c>
      <c r="K80" s="1">
        <v>4000.0</v>
      </c>
      <c r="L80" s="1" t="s">
        <v>18</v>
      </c>
    </row>
    <row r="81" ht="14.25" customHeight="1">
      <c r="A81" s="1" t="s">
        <v>79</v>
      </c>
      <c r="B81" s="1">
        <v>81.0</v>
      </c>
      <c r="C81" s="1" t="s">
        <v>13</v>
      </c>
      <c r="D81" s="1" t="s">
        <v>14</v>
      </c>
      <c r="E81" s="1" t="s">
        <v>99</v>
      </c>
      <c r="F81" s="1" t="s">
        <v>16</v>
      </c>
      <c r="G81" s="1" t="s">
        <v>100</v>
      </c>
      <c r="H81" s="1">
        <v>34.6</v>
      </c>
      <c r="I81" s="1">
        <v>17.2</v>
      </c>
      <c r="J81" s="1">
        <v>189.0</v>
      </c>
      <c r="K81" s="1">
        <v>3200.0</v>
      </c>
      <c r="L81" s="1" t="s">
        <v>20</v>
      </c>
    </row>
    <row r="82" ht="14.25" customHeight="1">
      <c r="A82" s="1" t="s">
        <v>79</v>
      </c>
      <c r="B82" s="1">
        <v>82.0</v>
      </c>
      <c r="C82" s="1" t="s">
        <v>13</v>
      </c>
      <c r="D82" s="1" t="s">
        <v>14</v>
      </c>
      <c r="E82" s="1" t="s">
        <v>101</v>
      </c>
      <c r="F82" s="1" t="s">
        <v>16</v>
      </c>
      <c r="G82" s="1" t="s">
        <v>100</v>
      </c>
      <c r="H82" s="1">
        <v>42.9</v>
      </c>
      <c r="I82" s="1">
        <v>17.6</v>
      </c>
      <c r="J82" s="1">
        <v>196.0</v>
      </c>
      <c r="K82" s="1">
        <v>4700.0</v>
      </c>
      <c r="L82" s="1" t="s">
        <v>18</v>
      </c>
    </row>
    <row r="83" ht="14.25" customHeight="1">
      <c r="A83" s="1" t="s">
        <v>79</v>
      </c>
      <c r="B83" s="1">
        <v>83.0</v>
      </c>
      <c r="C83" s="1" t="s">
        <v>13</v>
      </c>
      <c r="D83" s="1" t="s">
        <v>14</v>
      </c>
      <c r="E83" s="1" t="s">
        <v>102</v>
      </c>
      <c r="F83" s="1" t="s">
        <v>16</v>
      </c>
      <c r="G83" s="1" t="s">
        <v>103</v>
      </c>
      <c r="H83" s="1">
        <v>36.7</v>
      </c>
      <c r="I83" s="1">
        <v>18.8</v>
      </c>
      <c r="J83" s="1">
        <v>187.0</v>
      </c>
      <c r="K83" s="1">
        <v>3800.0</v>
      </c>
      <c r="L83" s="1" t="s">
        <v>20</v>
      </c>
    </row>
    <row r="84" ht="14.25" customHeight="1">
      <c r="A84" s="1" t="s">
        <v>79</v>
      </c>
      <c r="B84" s="1">
        <v>84.0</v>
      </c>
      <c r="C84" s="1" t="s">
        <v>13</v>
      </c>
      <c r="D84" s="1" t="s">
        <v>14</v>
      </c>
      <c r="E84" s="1" t="s">
        <v>104</v>
      </c>
      <c r="F84" s="1" t="s">
        <v>16</v>
      </c>
      <c r="G84" s="1" t="s">
        <v>103</v>
      </c>
      <c r="H84" s="1">
        <v>35.1</v>
      </c>
      <c r="I84" s="1">
        <v>19.4</v>
      </c>
      <c r="J84" s="1">
        <v>193.0</v>
      </c>
      <c r="K84" s="1">
        <v>4200.0</v>
      </c>
      <c r="L84" s="1" t="s">
        <v>18</v>
      </c>
    </row>
    <row r="85" ht="14.25" customHeight="1">
      <c r="A85" s="1" t="s">
        <v>79</v>
      </c>
      <c r="B85" s="1">
        <v>85.0</v>
      </c>
      <c r="C85" s="1" t="s">
        <v>13</v>
      </c>
      <c r="D85" s="1" t="s">
        <v>56</v>
      </c>
      <c r="E85" s="1" t="s">
        <v>105</v>
      </c>
      <c r="F85" s="1" t="s">
        <v>16</v>
      </c>
      <c r="G85" s="1" t="s">
        <v>106</v>
      </c>
      <c r="H85" s="1">
        <v>37.3</v>
      </c>
      <c r="I85" s="1">
        <v>17.8</v>
      </c>
      <c r="J85" s="1">
        <v>191.0</v>
      </c>
      <c r="K85" s="1">
        <v>3350.0</v>
      </c>
      <c r="L85" s="1" t="s">
        <v>20</v>
      </c>
    </row>
    <row r="86" ht="14.25" customHeight="1">
      <c r="A86" s="1" t="s">
        <v>79</v>
      </c>
      <c r="B86" s="1">
        <v>86.0</v>
      </c>
      <c r="C86" s="1" t="s">
        <v>13</v>
      </c>
      <c r="D86" s="1" t="s">
        <v>56</v>
      </c>
      <c r="E86" s="1" t="s">
        <v>107</v>
      </c>
      <c r="F86" s="1" t="s">
        <v>16</v>
      </c>
      <c r="G86" s="1" t="s">
        <v>106</v>
      </c>
      <c r="H86" s="1">
        <v>41.3</v>
      </c>
      <c r="I86" s="1">
        <v>20.3</v>
      </c>
      <c r="J86" s="1">
        <v>194.0</v>
      </c>
      <c r="K86" s="1">
        <v>3550.0</v>
      </c>
      <c r="L86" s="1" t="s">
        <v>18</v>
      </c>
    </row>
    <row r="87" ht="14.25" customHeight="1">
      <c r="A87" s="1" t="s">
        <v>79</v>
      </c>
      <c r="B87" s="1">
        <v>87.0</v>
      </c>
      <c r="C87" s="1" t="s">
        <v>13</v>
      </c>
      <c r="D87" s="1" t="s">
        <v>56</v>
      </c>
      <c r="E87" s="1" t="s">
        <v>108</v>
      </c>
      <c r="F87" s="1" t="s">
        <v>16</v>
      </c>
      <c r="G87" s="1" t="s">
        <v>93</v>
      </c>
      <c r="H87" s="1">
        <v>36.3</v>
      </c>
      <c r="I87" s="1">
        <v>19.5</v>
      </c>
      <c r="J87" s="1">
        <v>190.0</v>
      </c>
      <c r="K87" s="1">
        <v>3800.0</v>
      </c>
      <c r="L87" s="1" t="s">
        <v>18</v>
      </c>
    </row>
    <row r="88" ht="14.25" customHeight="1">
      <c r="A88" s="1" t="s">
        <v>79</v>
      </c>
      <c r="B88" s="1">
        <v>88.0</v>
      </c>
      <c r="C88" s="1" t="s">
        <v>13</v>
      </c>
      <c r="D88" s="1" t="s">
        <v>56</v>
      </c>
      <c r="E88" s="1" t="s">
        <v>109</v>
      </c>
      <c r="F88" s="1" t="s">
        <v>16</v>
      </c>
      <c r="G88" s="1" t="s">
        <v>93</v>
      </c>
      <c r="H88" s="1">
        <v>36.9</v>
      </c>
      <c r="I88" s="1">
        <v>18.6</v>
      </c>
      <c r="J88" s="1">
        <v>189.0</v>
      </c>
      <c r="K88" s="1">
        <v>3500.0</v>
      </c>
      <c r="L88" s="1" t="s">
        <v>20</v>
      </c>
    </row>
    <row r="89" ht="14.25" customHeight="1">
      <c r="A89" s="1" t="s">
        <v>79</v>
      </c>
      <c r="B89" s="1">
        <v>89.0</v>
      </c>
      <c r="C89" s="1" t="s">
        <v>13</v>
      </c>
      <c r="D89" s="1" t="s">
        <v>56</v>
      </c>
      <c r="E89" s="1" t="s">
        <v>110</v>
      </c>
      <c r="F89" s="1" t="s">
        <v>16</v>
      </c>
      <c r="G89" s="1" t="s">
        <v>93</v>
      </c>
      <c r="H89" s="1">
        <v>38.3</v>
      </c>
      <c r="I89" s="1">
        <v>19.2</v>
      </c>
      <c r="J89" s="1">
        <v>189.0</v>
      </c>
      <c r="K89" s="1">
        <v>3950.0</v>
      </c>
      <c r="L89" s="1" t="s">
        <v>18</v>
      </c>
    </row>
    <row r="90" ht="14.25" customHeight="1">
      <c r="A90" s="1" t="s">
        <v>79</v>
      </c>
      <c r="B90" s="1">
        <v>90.0</v>
      </c>
      <c r="C90" s="1" t="s">
        <v>13</v>
      </c>
      <c r="D90" s="1" t="s">
        <v>56</v>
      </c>
      <c r="E90" s="1" t="s">
        <v>111</v>
      </c>
      <c r="F90" s="1" t="s">
        <v>16</v>
      </c>
      <c r="G90" s="1" t="s">
        <v>93</v>
      </c>
      <c r="H90" s="1">
        <v>38.9</v>
      </c>
      <c r="I90" s="1">
        <v>18.8</v>
      </c>
      <c r="J90" s="1">
        <v>190.0</v>
      </c>
      <c r="K90" s="1">
        <v>3600.0</v>
      </c>
      <c r="L90" s="1" t="s">
        <v>20</v>
      </c>
    </row>
    <row r="91" ht="14.25" customHeight="1">
      <c r="A91" s="1" t="s">
        <v>79</v>
      </c>
      <c r="B91" s="1">
        <v>91.0</v>
      </c>
      <c r="C91" s="1" t="s">
        <v>13</v>
      </c>
      <c r="D91" s="1" t="s">
        <v>56</v>
      </c>
      <c r="E91" s="1" t="s">
        <v>112</v>
      </c>
      <c r="F91" s="1" t="s">
        <v>16</v>
      </c>
      <c r="G91" s="1" t="s">
        <v>88</v>
      </c>
      <c r="H91" s="1">
        <v>35.7</v>
      </c>
      <c r="I91" s="1">
        <v>18.0</v>
      </c>
      <c r="J91" s="1">
        <v>202.0</v>
      </c>
      <c r="K91" s="1">
        <v>3550.0</v>
      </c>
      <c r="L91" s="1" t="s">
        <v>20</v>
      </c>
    </row>
    <row r="92" ht="14.25" customHeight="1">
      <c r="A92" s="1" t="s">
        <v>79</v>
      </c>
      <c r="B92" s="1">
        <v>92.0</v>
      </c>
      <c r="C92" s="1" t="s">
        <v>13</v>
      </c>
      <c r="D92" s="1" t="s">
        <v>56</v>
      </c>
      <c r="E92" s="1" t="s">
        <v>113</v>
      </c>
      <c r="F92" s="1" t="s">
        <v>16</v>
      </c>
      <c r="G92" s="1" t="s">
        <v>88</v>
      </c>
      <c r="H92" s="1">
        <v>41.1</v>
      </c>
      <c r="I92" s="1">
        <v>18.1</v>
      </c>
      <c r="J92" s="1">
        <v>205.0</v>
      </c>
      <c r="K92" s="1">
        <v>4300.0</v>
      </c>
      <c r="L92" s="1" t="s">
        <v>18</v>
      </c>
    </row>
    <row r="93" ht="14.25" customHeight="1">
      <c r="A93" s="1" t="s">
        <v>79</v>
      </c>
      <c r="B93" s="1">
        <v>93.0</v>
      </c>
      <c r="C93" s="1" t="s">
        <v>13</v>
      </c>
      <c r="D93" s="1" t="s">
        <v>56</v>
      </c>
      <c r="E93" s="1" t="s">
        <v>114</v>
      </c>
      <c r="F93" s="1" t="s">
        <v>16</v>
      </c>
      <c r="G93" s="1" t="s">
        <v>115</v>
      </c>
      <c r="H93" s="1">
        <v>34.0</v>
      </c>
      <c r="I93" s="1">
        <v>17.1</v>
      </c>
      <c r="J93" s="1">
        <v>185.0</v>
      </c>
      <c r="K93" s="1">
        <v>3400.0</v>
      </c>
      <c r="L93" s="1" t="s">
        <v>20</v>
      </c>
    </row>
    <row r="94" ht="14.25" customHeight="1">
      <c r="A94" s="1" t="s">
        <v>79</v>
      </c>
      <c r="B94" s="1">
        <v>94.0</v>
      </c>
      <c r="C94" s="1" t="s">
        <v>13</v>
      </c>
      <c r="D94" s="1" t="s">
        <v>56</v>
      </c>
      <c r="E94" s="1" t="s">
        <v>116</v>
      </c>
      <c r="F94" s="1" t="s">
        <v>16</v>
      </c>
      <c r="G94" s="1" t="s">
        <v>115</v>
      </c>
      <c r="H94" s="1">
        <v>39.6</v>
      </c>
      <c r="I94" s="1">
        <v>18.1</v>
      </c>
      <c r="J94" s="1">
        <v>186.0</v>
      </c>
      <c r="K94" s="1">
        <v>4450.0</v>
      </c>
      <c r="L94" s="1" t="s">
        <v>18</v>
      </c>
    </row>
    <row r="95" ht="14.25" customHeight="1">
      <c r="A95" s="1" t="s">
        <v>79</v>
      </c>
      <c r="B95" s="1">
        <v>95.0</v>
      </c>
      <c r="C95" s="1" t="s">
        <v>13</v>
      </c>
      <c r="D95" s="1" t="s">
        <v>56</v>
      </c>
      <c r="E95" s="1" t="s">
        <v>117</v>
      </c>
      <c r="F95" s="1" t="s">
        <v>16</v>
      </c>
      <c r="G95" s="1" t="s">
        <v>106</v>
      </c>
      <c r="H95" s="1">
        <v>36.2</v>
      </c>
      <c r="I95" s="1">
        <v>17.3</v>
      </c>
      <c r="J95" s="1">
        <v>187.0</v>
      </c>
      <c r="K95" s="1">
        <v>3300.0</v>
      </c>
      <c r="L95" s="1" t="s">
        <v>20</v>
      </c>
    </row>
    <row r="96" ht="14.25" customHeight="1">
      <c r="A96" s="1" t="s">
        <v>79</v>
      </c>
      <c r="B96" s="1">
        <v>96.0</v>
      </c>
      <c r="C96" s="1" t="s">
        <v>13</v>
      </c>
      <c r="D96" s="1" t="s">
        <v>56</v>
      </c>
      <c r="E96" s="1" t="s">
        <v>118</v>
      </c>
      <c r="F96" s="1" t="s">
        <v>16</v>
      </c>
      <c r="G96" s="1" t="s">
        <v>106</v>
      </c>
      <c r="H96" s="1">
        <v>40.8</v>
      </c>
      <c r="I96" s="1">
        <v>18.9</v>
      </c>
      <c r="J96" s="1">
        <v>208.0</v>
      </c>
      <c r="K96" s="1">
        <v>4300.0</v>
      </c>
      <c r="L96" s="1" t="s">
        <v>18</v>
      </c>
    </row>
    <row r="97" ht="14.25" customHeight="1">
      <c r="A97" s="1" t="s">
        <v>79</v>
      </c>
      <c r="B97" s="1">
        <v>97.0</v>
      </c>
      <c r="C97" s="1" t="s">
        <v>13</v>
      </c>
      <c r="D97" s="1" t="s">
        <v>56</v>
      </c>
      <c r="E97" s="1" t="s">
        <v>119</v>
      </c>
      <c r="F97" s="1" t="s">
        <v>16</v>
      </c>
      <c r="G97" s="1" t="s">
        <v>93</v>
      </c>
      <c r="H97" s="1">
        <v>38.1</v>
      </c>
      <c r="I97" s="1">
        <v>18.6</v>
      </c>
      <c r="J97" s="1">
        <v>190.0</v>
      </c>
      <c r="K97" s="1">
        <v>3700.0</v>
      </c>
      <c r="L97" s="1" t="s">
        <v>20</v>
      </c>
    </row>
    <row r="98" ht="14.25" customHeight="1">
      <c r="A98" s="1" t="s">
        <v>79</v>
      </c>
      <c r="B98" s="1">
        <v>98.0</v>
      </c>
      <c r="C98" s="1" t="s">
        <v>13</v>
      </c>
      <c r="D98" s="1" t="s">
        <v>56</v>
      </c>
      <c r="E98" s="1" t="s">
        <v>120</v>
      </c>
      <c r="F98" s="1" t="s">
        <v>16</v>
      </c>
      <c r="G98" s="1" t="s">
        <v>93</v>
      </c>
      <c r="H98" s="1">
        <v>40.3</v>
      </c>
      <c r="I98" s="1">
        <v>18.5</v>
      </c>
      <c r="J98" s="1">
        <v>196.0</v>
      </c>
      <c r="K98" s="1">
        <v>4350.0</v>
      </c>
      <c r="L98" s="1" t="s">
        <v>18</v>
      </c>
    </row>
    <row r="99" ht="14.25" customHeight="1">
      <c r="A99" s="1" t="s">
        <v>79</v>
      </c>
      <c r="B99" s="1">
        <v>99.0</v>
      </c>
      <c r="C99" s="1" t="s">
        <v>13</v>
      </c>
      <c r="D99" s="1" t="s">
        <v>56</v>
      </c>
      <c r="E99" s="1" t="s">
        <v>121</v>
      </c>
      <c r="F99" s="1" t="s">
        <v>16</v>
      </c>
      <c r="G99" s="1" t="s">
        <v>122</v>
      </c>
      <c r="H99" s="1">
        <v>33.1</v>
      </c>
      <c r="I99" s="1">
        <v>16.1</v>
      </c>
      <c r="J99" s="1">
        <v>178.0</v>
      </c>
      <c r="K99" s="1">
        <v>2900.0</v>
      </c>
      <c r="L99" s="1" t="s">
        <v>20</v>
      </c>
    </row>
    <row r="100" ht="14.25" customHeight="1">
      <c r="A100" s="1" t="s">
        <v>79</v>
      </c>
      <c r="B100" s="1">
        <v>100.0</v>
      </c>
      <c r="C100" s="1" t="s">
        <v>13</v>
      </c>
      <c r="D100" s="1" t="s">
        <v>56</v>
      </c>
      <c r="E100" s="1" t="s">
        <v>123</v>
      </c>
      <c r="F100" s="1" t="s">
        <v>16</v>
      </c>
      <c r="G100" s="1" t="s">
        <v>122</v>
      </c>
      <c r="H100" s="1">
        <v>43.2</v>
      </c>
      <c r="I100" s="1">
        <v>18.5</v>
      </c>
      <c r="J100" s="1">
        <v>192.0</v>
      </c>
      <c r="K100" s="1">
        <v>4100.0</v>
      </c>
      <c r="L100" s="1" t="s">
        <v>18</v>
      </c>
    </row>
    <row r="101" ht="14.25" customHeight="1">
      <c r="A101" s="1" t="s">
        <v>124</v>
      </c>
      <c r="B101" s="1">
        <v>101.0</v>
      </c>
      <c r="C101" s="1" t="s">
        <v>13</v>
      </c>
      <c r="D101" s="1" t="s">
        <v>44</v>
      </c>
      <c r="E101" s="1" t="s">
        <v>125</v>
      </c>
      <c r="F101" s="1" t="s">
        <v>16</v>
      </c>
      <c r="G101" s="1" t="s">
        <v>126</v>
      </c>
      <c r="H101" s="1">
        <v>35.0</v>
      </c>
      <c r="I101" s="1">
        <v>17.9</v>
      </c>
      <c r="J101" s="1">
        <v>192.0</v>
      </c>
      <c r="K101" s="1">
        <v>3725.0</v>
      </c>
      <c r="L101" s="1" t="s">
        <v>20</v>
      </c>
    </row>
    <row r="102" ht="14.25" customHeight="1">
      <c r="A102" s="1" t="s">
        <v>124</v>
      </c>
      <c r="B102" s="1">
        <v>102.0</v>
      </c>
      <c r="C102" s="1" t="s">
        <v>13</v>
      </c>
      <c r="D102" s="1" t="s">
        <v>44</v>
      </c>
      <c r="E102" s="1" t="s">
        <v>127</v>
      </c>
      <c r="F102" s="1" t="s">
        <v>16</v>
      </c>
      <c r="G102" s="1" t="s">
        <v>126</v>
      </c>
      <c r="H102" s="1">
        <v>41.0</v>
      </c>
      <c r="I102" s="1">
        <v>20.0</v>
      </c>
      <c r="J102" s="1">
        <v>203.0</v>
      </c>
      <c r="K102" s="1">
        <v>4725.0</v>
      </c>
      <c r="L102" s="1" t="s">
        <v>18</v>
      </c>
    </row>
    <row r="103" ht="14.25" customHeight="1">
      <c r="A103" s="1" t="s">
        <v>124</v>
      </c>
      <c r="B103" s="1">
        <v>103.0</v>
      </c>
      <c r="C103" s="1" t="s">
        <v>13</v>
      </c>
      <c r="D103" s="1" t="s">
        <v>44</v>
      </c>
      <c r="E103" s="1" t="s">
        <v>119</v>
      </c>
      <c r="F103" s="1" t="s">
        <v>16</v>
      </c>
      <c r="G103" s="1" t="s">
        <v>128</v>
      </c>
      <c r="H103" s="1">
        <v>37.7</v>
      </c>
      <c r="I103" s="1">
        <v>16.0</v>
      </c>
      <c r="J103" s="1">
        <v>183.0</v>
      </c>
      <c r="K103" s="1">
        <v>3075.0</v>
      </c>
      <c r="L103" s="1" t="s">
        <v>20</v>
      </c>
    </row>
    <row r="104" ht="14.25" customHeight="1">
      <c r="A104" s="1" t="s">
        <v>124</v>
      </c>
      <c r="B104" s="1">
        <v>104.0</v>
      </c>
      <c r="C104" s="1" t="s">
        <v>13</v>
      </c>
      <c r="D104" s="1" t="s">
        <v>44</v>
      </c>
      <c r="E104" s="1" t="s">
        <v>120</v>
      </c>
      <c r="F104" s="1" t="s">
        <v>16</v>
      </c>
      <c r="G104" s="1" t="s">
        <v>128</v>
      </c>
      <c r="H104" s="1">
        <v>37.8</v>
      </c>
      <c r="I104" s="1">
        <v>20.0</v>
      </c>
      <c r="J104" s="1">
        <v>190.0</v>
      </c>
      <c r="K104" s="1">
        <v>4250.0</v>
      </c>
      <c r="L104" s="1" t="s">
        <v>18</v>
      </c>
    </row>
    <row r="105" ht="14.25" customHeight="1">
      <c r="A105" s="1" t="s">
        <v>124</v>
      </c>
      <c r="B105" s="1">
        <v>105.0</v>
      </c>
      <c r="C105" s="1" t="s">
        <v>13</v>
      </c>
      <c r="D105" s="1" t="s">
        <v>44</v>
      </c>
      <c r="E105" s="1" t="s">
        <v>129</v>
      </c>
      <c r="F105" s="1" t="s">
        <v>16</v>
      </c>
      <c r="G105" s="1" t="s">
        <v>128</v>
      </c>
      <c r="H105" s="1">
        <v>37.9</v>
      </c>
      <c r="I105" s="1">
        <v>18.6</v>
      </c>
      <c r="J105" s="1">
        <v>193.0</v>
      </c>
      <c r="K105" s="1">
        <v>2925.0</v>
      </c>
      <c r="L105" s="1" t="s">
        <v>20</v>
      </c>
    </row>
    <row r="106" ht="14.25" customHeight="1">
      <c r="A106" s="1" t="s">
        <v>124</v>
      </c>
      <c r="B106" s="1">
        <v>106.0</v>
      </c>
      <c r="C106" s="1" t="s">
        <v>13</v>
      </c>
      <c r="D106" s="1" t="s">
        <v>44</v>
      </c>
      <c r="E106" s="1" t="s">
        <v>130</v>
      </c>
      <c r="F106" s="1" t="s">
        <v>16</v>
      </c>
      <c r="G106" s="1" t="s">
        <v>128</v>
      </c>
      <c r="H106" s="1">
        <v>39.7</v>
      </c>
      <c r="I106" s="1">
        <v>18.9</v>
      </c>
      <c r="J106" s="1">
        <v>184.0</v>
      </c>
      <c r="K106" s="1">
        <v>3550.0</v>
      </c>
      <c r="L106" s="1" t="s">
        <v>18</v>
      </c>
    </row>
    <row r="107" ht="14.25" customHeight="1">
      <c r="A107" s="1" t="s">
        <v>124</v>
      </c>
      <c r="B107" s="1">
        <v>107.0</v>
      </c>
      <c r="C107" s="1" t="s">
        <v>13</v>
      </c>
      <c r="D107" s="1" t="s">
        <v>44</v>
      </c>
      <c r="E107" s="1" t="s">
        <v>131</v>
      </c>
      <c r="F107" s="1" t="s">
        <v>16</v>
      </c>
      <c r="G107" s="1" t="s">
        <v>128</v>
      </c>
      <c r="H107" s="1">
        <v>38.6</v>
      </c>
      <c r="I107" s="1">
        <v>17.2</v>
      </c>
      <c r="J107" s="1">
        <v>199.0</v>
      </c>
      <c r="K107" s="1">
        <v>3750.0</v>
      </c>
      <c r="L107" s="1" t="s">
        <v>20</v>
      </c>
    </row>
    <row r="108" ht="14.25" customHeight="1">
      <c r="A108" s="1" t="s">
        <v>124</v>
      </c>
      <c r="B108" s="1">
        <v>108.0</v>
      </c>
      <c r="C108" s="1" t="s">
        <v>13</v>
      </c>
      <c r="D108" s="1" t="s">
        <v>44</v>
      </c>
      <c r="E108" s="1" t="s">
        <v>132</v>
      </c>
      <c r="F108" s="1" t="s">
        <v>16</v>
      </c>
      <c r="G108" s="1" t="s">
        <v>128</v>
      </c>
      <c r="H108" s="1">
        <v>38.2</v>
      </c>
      <c r="I108" s="1">
        <v>20.0</v>
      </c>
      <c r="J108" s="1">
        <v>190.0</v>
      </c>
      <c r="K108" s="1">
        <v>3900.0</v>
      </c>
      <c r="L108" s="1" t="s">
        <v>18</v>
      </c>
    </row>
    <row r="109" ht="14.25" customHeight="1">
      <c r="A109" s="1" t="s">
        <v>124</v>
      </c>
      <c r="B109" s="1">
        <v>109.0</v>
      </c>
      <c r="C109" s="1" t="s">
        <v>13</v>
      </c>
      <c r="D109" s="1" t="s">
        <v>44</v>
      </c>
      <c r="E109" s="1" t="s">
        <v>133</v>
      </c>
      <c r="F109" s="1" t="s">
        <v>16</v>
      </c>
      <c r="G109" s="1" t="s">
        <v>134</v>
      </c>
      <c r="H109" s="1">
        <v>38.1</v>
      </c>
      <c r="I109" s="1">
        <v>17.0</v>
      </c>
      <c r="J109" s="1">
        <v>181.0</v>
      </c>
      <c r="K109" s="1">
        <v>3175.0</v>
      </c>
      <c r="L109" s="1" t="s">
        <v>20</v>
      </c>
    </row>
    <row r="110" ht="14.25" customHeight="1">
      <c r="A110" s="1" t="s">
        <v>124</v>
      </c>
      <c r="B110" s="1">
        <v>110.0</v>
      </c>
      <c r="C110" s="1" t="s">
        <v>13</v>
      </c>
      <c r="D110" s="1" t="s">
        <v>44</v>
      </c>
      <c r="E110" s="1" t="s">
        <v>135</v>
      </c>
      <c r="F110" s="1" t="s">
        <v>16</v>
      </c>
      <c r="G110" s="1" t="s">
        <v>134</v>
      </c>
      <c r="H110" s="1">
        <v>43.2</v>
      </c>
      <c r="I110" s="1">
        <v>19.0</v>
      </c>
      <c r="J110" s="1">
        <v>197.0</v>
      </c>
      <c r="K110" s="1">
        <v>4775.0</v>
      </c>
      <c r="L110" s="1" t="s">
        <v>18</v>
      </c>
    </row>
    <row r="111" ht="14.25" customHeight="1">
      <c r="A111" s="1" t="s">
        <v>124</v>
      </c>
      <c r="B111" s="1">
        <v>111.0</v>
      </c>
      <c r="C111" s="1" t="s">
        <v>13</v>
      </c>
      <c r="D111" s="1" t="s">
        <v>44</v>
      </c>
      <c r="E111" s="1" t="s">
        <v>136</v>
      </c>
      <c r="F111" s="1" t="s">
        <v>16</v>
      </c>
      <c r="G111" s="1" t="s">
        <v>137</v>
      </c>
      <c r="H111" s="1">
        <v>38.1</v>
      </c>
      <c r="I111" s="1">
        <v>16.5</v>
      </c>
      <c r="J111" s="1">
        <v>198.0</v>
      </c>
      <c r="K111" s="1">
        <v>3825.0</v>
      </c>
      <c r="L111" s="1" t="s">
        <v>20</v>
      </c>
    </row>
    <row r="112" ht="14.25" customHeight="1">
      <c r="A112" s="1" t="s">
        <v>124</v>
      </c>
      <c r="B112" s="1">
        <v>112.0</v>
      </c>
      <c r="C112" s="1" t="s">
        <v>13</v>
      </c>
      <c r="D112" s="1" t="s">
        <v>44</v>
      </c>
      <c r="E112" s="1" t="s">
        <v>138</v>
      </c>
      <c r="F112" s="1" t="s">
        <v>16</v>
      </c>
      <c r="G112" s="1" t="s">
        <v>137</v>
      </c>
      <c r="H112" s="1">
        <v>45.6</v>
      </c>
      <c r="I112" s="1">
        <v>20.3</v>
      </c>
      <c r="J112" s="1">
        <v>191.0</v>
      </c>
      <c r="K112" s="1">
        <v>4600.0</v>
      </c>
      <c r="L112" s="1" t="s">
        <v>18</v>
      </c>
    </row>
    <row r="113" ht="14.25" customHeight="1">
      <c r="A113" s="1" t="s">
        <v>124</v>
      </c>
      <c r="B113" s="1">
        <v>113.0</v>
      </c>
      <c r="C113" s="1" t="s">
        <v>13</v>
      </c>
      <c r="D113" s="1" t="s">
        <v>44</v>
      </c>
      <c r="E113" s="1" t="s">
        <v>139</v>
      </c>
      <c r="F113" s="1" t="s">
        <v>16</v>
      </c>
      <c r="G113" s="1" t="s">
        <v>128</v>
      </c>
      <c r="H113" s="1">
        <v>39.7</v>
      </c>
      <c r="I113" s="1">
        <v>17.7</v>
      </c>
      <c r="J113" s="1">
        <v>193.0</v>
      </c>
      <c r="K113" s="1">
        <v>3200.0</v>
      </c>
      <c r="L113" s="1" t="s">
        <v>20</v>
      </c>
    </row>
    <row r="114" ht="14.25" customHeight="1">
      <c r="A114" s="1" t="s">
        <v>124</v>
      </c>
      <c r="B114" s="1">
        <v>114.0</v>
      </c>
      <c r="C114" s="1" t="s">
        <v>13</v>
      </c>
      <c r="D114" s="1" t="s">
        <v>44</v>
      </c>
      <c r="E114" s="1" t="s">
        <v>140</v>
      </c>
      <c r="F114" s="1" t="s">
        <v>16</v>
      </c>
      <c r="G114" s="1" t="s">
        <v>128</v>
      </c>
      <c r="H114" s="1">
        <v>42.2</v>
      </c>
      <c r="I114" s="1">
        <v>19.5</v>
      </c>
      <c r="J114" s="1">
        <v>197.0</v>
      </c>
      <c r="K114" s="1">
        <v>4275.0</v>
      </c>
      <c r="L114" s="1" t="s">
        <v>18</v>
      </c>
    </row>
    <row r="115" ht="14.25" customHeight="1">
      <c r="A115" s="1" t="s">
        <v>124</v>
      </c>
      <c r="B115" s="1">
        <v>115.0</v>
      </c>
      <c r="C115" s="1" t="s">
        <v>13</v>
      </c>
      <c r="D115" s="1" t="s">
        <v>44</v>
      </c>
      <c r="E115" s="1" t="s">
        <v>141</v>
      </c>
      <c r="F115" s="1" t="s">
        <v>16</v>
      </c>
      <c r="G115" s="1" t="s">
        <v>142</v>
      </c>
      <c r="H115" s="1">
        <v>39.6</v>
      </c>
      <c r="I115" s="1">
        <v>20.7</v>
      </c>
      <c r="J115" s="1">
        <v>191.0</v>
      </c>
      <c r="K115" s="1">
        <v>3900.0</v>
      </c>
      <c r="L115" s="1" t="s">
        <v>20</v>
      </c>
    </row>
    <row r="116" ht="14.25" customHeight="1">
      <c r="A116" s="1" t="s">
        <v>124</v>
      </c>
      <c r="B116" s="1">
        <v>116.0</v>
      </c>
      <c r="C116" s="1" t="s">
        <v>13</v>
      </c>
      <c r="D116" s="1" t="s">
        <v>44</v>
      </c>
      <c r="E116" s="1" t="s">
        <v>143</v>
      </c>
      <c r="F116" s="1" t="s">
        <v>16</v>
      </c>
      <c r="G116" s="1" t="s">
        <v>142</v>
      </c>
      <c r="H116" s="1">
        <v>42.7</v>
      </c>
      <c r="I116" s="1">
        <v>18.3</v>
      </c>
      <c r="J116" s="1">
        <v>196.0</v>
      </c>
      <c r="K116" s="1">
        <v>4075.0</v>
      </c>
      <c r="L116" s="1" t="s">
        <v>18</v>
      </c>
    </row>
    <row r="117" ht="14.25" customHeight="1">
      <c r="A117" s="1" t="s">
        <v>124</v>
      </c>
      <c r="B117" s="1">
        <v>117.0</v>
      </c>
      <c r="C117" s="1" t="s">
        <v>13</v>
      </c>
      <c r="D117" s="1" t="s">
        <v>14</v>
      </c>
      <c r="E117" s="1" t="s">
        <v>144</v>
      </c>
      <c r="F117" s="1" t="s">
        <v>16</v>
      </c>
      <c r="G117" s="1" t="s">
        <v>145</v>
      </c>
      <c r="H117" s="1">
        <v>38.6</v>
      </c>
      <c r="I117" s="1">
        <v>17.0</v>
      </c>
      <c r="J117" s="1">
        <v>188.0</v>
      </c>
      <c r="K117" s="1">
        <v>2900.0</v>
      </c>
      <c r="L117" s="1" t="s">
        <v>20</v>
      </c>
    </row>
    <row r="118" ht="14.25" customHeight="1">
      <c r="A118" s="1" t="s">
        <v>124</v>
      </c>
      <c r="B118" s="1">
        <v>118.0</v>
      </c>
      <c r="C118" s="1" t="s">
        <v>13</v>
      </c>
      <c r="D118" s="1" t="s">
        <v>14</v>
      </c>
      <c r="E118" s="1" t="s">
        <v>146</v>
      </c>
      <c r="F118" s="1" t="s">
        <v>16</v>
      </c>
      <c r="G118" s="1" t="s">
        <v>145</v>
      </c>
      <c r="H118" s="1">
        <v>37.3</v>
      </c>
      <c r="I118" s="1">
        <v>20.5</v>
      </c>
      <c r="J118" s="1">
        <v>199.0</v>
      </c>
      <c r="K118" s="1">
        <v>3775.0</v>
      </c>
      <c r="L118" s="1" t="s">
        <v>18</v>
      </c>
    </row>
    <row r="119" ht="14.25" customHeight="1">
      <c r="A119" s="1" t="s">
        <v>124</v>
      </c>
      <c r="B119" s="1">
        <v>119.0</v>
      </c>
      <c r="C119" s="1" t="s">
        <v>13</v>
      </c>
      <c r="D119" s="1" t="s">
        <v>14</v>
      </c>
      <c r="E119" s="1" t="s">
        <v>147</v>
      </c>
      <c r="F119" s="1" t="s">
        <v>16</v>
      </c>
      <c r="G119" s="1" t="s">
        <v>148</v>
      </c>
      <c r="H119" s="1">
        <v>35.7</v>
      </c>
      <c r="I119" s="1">
        <v>17.0</v>
      </c>
      <c r="J119" s="1">
        <v>189.0</v>
      </c>
      <c r="K119" s="1">
        <v>3350.0</v>
      </c>
      <c r="L119" s="1" t="s">
        <v>20</v>
      </c>
    </row>
    <row r="120" ht="14.25" customHeight="1">
      <c r="A120" s="1" t="s">
        <v>124</v>
      </c>
      <c r="B120" s="1">
        <v>120.0</v>
      </c>
      <c r="C120" s="1" t="s">
        <v>13</v>
      </c>
      <c r="D120" s="1" t="s">
        <v>14</v>
      </c>
      <c r="E120" s="1" t="s">
        <v>149</v>
      </c>
      <c r="F120" s="1" t="s">
        <v>16</v>
      </c>
      <c r="G120" s="1" t="s">
        <v>148</v>
      </c>
      <c r="H120" s="1">
        <v>41.1</v>
      </c>
      <c r="I120" s="1">
        <v>18.6</v>
      </c>
      <c r="J120" s="1">
        <v>189.0</v>
      </c>
      <c r="K120" s="1">
        <v>3325.0</v>
      </c>
      <c r="L120" s="1" t="s">
        <v>18</v>
      </c>
    </row>
    <row r="121" ht="14.25" customHeight="1">
      <c r="A121" s="1" t="s">
        <v>124</v>
      </c>
      <c r="B121" s="1">
        <v>121.0</v>
      </c>
      <c r="C121" s="1" t="s">
        <v>13</v>
      </c>
      <c r="D121" s="1" t="s">
        <v>14</v>
      </c>
      <c r="E121" s="1" t="s">
        <v>150</v>
      </c>
      <c r="F121" s="1" t="s">
        <v>26</v>
      </c>
      <c r="G121" s="1" t="s">
        <v>142</v>
      </c>
      <c r="H121" s="1">
        <v>36.2</v>
      </c>
      <c r="I121" s="1">
        <v>17.2</v>
      </c>
      <c r="J121" s="1">
        <v>187.0</v>
      </c>
      <c r="K121" s="1">
        <v>3150.0</v>
      </c>
      <c r="L121" s="1" t="s">
        <v>20</v>
      </c>
    </row>
    <row r="122" ht="14.25" customHeight="1">
      <c r="A122" s="1" t="s">
        <v>124</v>
      </c>
      <c r="B122" s="1">
        <v>122.0</v>
      </c>
      <c r="C122" s="1" t="s">
        <v>13</v>
      </c>
      <c r="D122" s="1" t="s">
        <v>14</v>
      </c>
      <c r="E122" s="1" t="s">
        <v>151</v>
      </c>
      <c r="F122" s="1" t="s">
        <v>26</v>
      </c>
      <c r="G122" s="1" t="s">
        <v>142</v>
      </c>
      <c r="H122" s="1">
        <v>37.7</v>
      </c>
      <c r="I122" s="1">
        <v>19.8</v>
      </c>
      <c r="J122" s="1">
        <v>198.0</v>
      </c>
      <c r="K122" s="1">
        <v>3500.0</v>
      </c>
      <c r="L122" s="1" t="s">
        <v>18</v>
      </c>
    </row>
    <row r="123" ht="14.25" customHeight="1">
      <c r="A123" s="1" t="s">
        <v>124</v>
      </c>
      <c r="B123" s="1">
        <v>123.0</v>
      </c>
      <c r="C123" s="1" t="s">
        <v>13</v>
      </c>
      <c r="D123" s="1" t="s">
        <v>14</v>
      </c>
      <c r="E123" s="1" t="s">
        <v>152</v>
      </c>
      <c r="F123" s="1" t="s">
        <v>16</v>
      </c>
      <c r="G123" s="1" t="s">
        <v>153</v>
      </c>
      <c r="H123" s="1">
        <v>40.2</v>
      </c>
      <c r="I123" s="1">
        <v>17.0</v>
      </c>
      <c r="J123" s="1">
        <v>176.0</v>
      </c>
      <c r="K123" s="1">
        <v>3450.0</v>
      </c>
      <c r="L123" s="1" t="s">
        <v>20</v>
      </c>
    </row>
    <row r="124" ht="14.25" customHeight="1">
      <c r="A124" s="1" t="s">
        <v>124</v>
      </c>
      <c r="B124" s="1">
        <v>124.0</v>
      </c>
      <c r="C124" s="1" t="s">
        <v>13</v>
      </c>
      <c r="D124" s="1" t="s">
        <v>14</v>
      </c>
      <c r="E124" s="1" t="s">
        <v>154</v>
      </c>
      <c r="F124" s="1" t="s">
        <v>16</v>
      </c>
      <c r="G124" s="1" t="s">
        <v>153</v>
      </c>
      <c r="H124" s="1">
        <v>41.4</v>
      </c>
      <c r="I124" s="1">
        <v>18.5</v>
      </c>
      <c r="J124" s="1">
        <v>202.0</v>
      </c>
      <c r="K124" s="1">
        <v>3875.0</v>
      </c>
      <c r="L124" s="1" t="s">
        <v>18</v>
      </c>
    </row>
    <row r="125" ht="14.25" customHeight="1">
      <c r="A125" s="1" t="s">
        <v>124</v>
      </c>
      <c r="B125" s="1">
        <v>125.0</v>
      </c>
      <c r="C125" s="1" t="s">
        <v>13</v>
      </c>
      <c r="D125" s="1" t="s">
        <v>14</v>
      </c>
      <c r="E125" s="1" t="s">
        <v>155</v>
      </c>
      <c r="F125" s="1" t="s">
        <v>16</v>
      </c>
      <c r="G125" s="1" t="s">
        <v>145</v>
      </c>
      <c r="H125" s="1">
        <v>35.2</v>
      </c>
      <c r="I125" s="1">
        <v>15.9</v>
      </c>
      <c r="J125" s="1">
        <v>186.0</v>
      </c>
      <c r="K125" s="1">
        <v>3050.0</v>
      </c>
      <c r="L125" s="1" t="s">
        <v>20</v>
      </c>
    </row>
    <row r="126" ht="14.25" customHeight="1">
      <c r="A126" s="1" t="s">
        <v>124</v>
      </c>
      <c r="B126" s="1">
        <v>126.0</v>
      </c>
      <c r="C126" s="1" t="s">
        <v>13</v>
      </c>
      <c r="D126" s="1" t="s">
        <v>14</v>
      </c>
      <c r="E126" s="1" t="s">
        <v>156</v>
      </c>
      <c r="F126" s="1" t="s">
        <v>16</v>
      </c>
      <c r="G126" s="1" t="s">
        <v>145</v>
      </c>
      <c r="H126" s="1">
        <v>40.6</v>
      </c>
      <c r="I126" s="1">
        <v>19.0</v>
      </c>
      <c r="J126" s="1">
        <v>199.0</v>
      </c>
      <c r="K126" s="1">
        <v>4000.0</v>
      </c>
      <c r="L126" s="1" t="s">
        <v>18</v>
      </c>
    </row>
    <row r="127" ht="14.25" customHeight="1">
      <c r="A127" s="1" t="s">
        <v>124</v>
      </c>
      <c r="B127" s="1">
        <v>127.0</v>
      </c>
      <c r="C127" s="1" t="s">
        <v>13</v>
      </c>
      <c r="D127" s="1" t="s">
        <v>14</v>
      </c>
      <c r="E127" s="1" t="s">
        <v>157</v>
      </c>
      <c r="F127" s="1" t="s">
        <v>16</v>
      </c>
      <c r="G127" s="1" t="s">
        <v>158</v>
      </c>
      <c r="H127" s="1">
        <v>38.8</v>
      </c>
      <c r="I127" s="1">
        <v>17.6</v>
      </c>
      <c r="J127" s="1">
        <v>191.0</v>
      </c>
      <c r="K127" s="1">
        <v>3275.0</v>
      </c>
      <c r="L127" s="1" t="s">
        <v>20</v>
      </c>
    </row>
    <row r="128" ht="14.25" customHeight="1">
      <c r="A128" s="1" t="s">
        <v>124</v>
      </c>
      <c r="B128" s="1">
        <v>128.0</v>
      </c>
      <c r="C128" s="1" t="s">
        <v>13</v>
      </c>
      <c r="D128" s="1" t="s">
        <v>14</v>
      </c>
      <c r="E128" s="1" t="s">
        <v>159</v>
      </c>
      <c r="F128" s="1" t="s">
        <v>16</v>
      </c>
      <c r="G128" s="1" t="s">
        <v>158</v>
      </c>
      <c r="H128" s="1">
        <v>41.5</v>
      </c>
      <c r="I128" s="1">
        <v>18.3</v>
      </c>
      <c r="J128" s="1">
        <v>195.0</v>
      </c>
      <c r="K128" s="1">
        <v>4300.0</v>
      </c>
      <c r="L128" s="1" t="s">
        <v>18</v>
      </c>
    </row>
    <row r="129" ht="14.25" customHeight="1">
      <c r="A129" s="1" t="s">
        <v>124</v>
      </c>
      <c r="B129" s="1">
        <v>129.0</v>
      </c>
      <c r="C129" s="1" t="s">
        <v>13</v>
      </c>
      <c r="D129" s="1" t="s">
        <v>14</v>
      </c>
      <c r="E129" s="1" t="s">
        <v>160</v>
      </c>
      <c r="F129" s="1" t="s">
        <v>16</v>
      </c>
      <c r="G129" s="1" t="s">
        <v>145</v>
      </c>
      <c r="H129" s="1">
        <v>39.0</v>
      </c>
      <c r="I129" s="1">
        <v>17.1</v>
      </c>
      <c r="J129" s="1">
        <v>191.0</v>
      </c>
      <c r="K129" s="1">
        <v>3050.0</v>
      </c>
      <c r="L129" s="1" t="s">
        <v>20</v>
      </c>
    </row>
    <row r="130" ht="14.25" customHeight="1">
      <c r="A130" s="1" t="s">
        <v>124</v>
      </c>
      <c r="B130" s="1">
        <v>130.0</v>
      </c>
      <c r="C130" s="1" t="s">
        <v>13</v>
      </c>
      <c r="D130" s="1" t="s">
        <v>14</v>
      </c>
      <c r="E130" s="1" t="s">
        <v>161</v>
      </c>
      <c r="F130" s="1" t="s">
        <v>16</v>
      </c>
      <c r="G130" s="1" t="s">
        <v>145</v>
      </c>
      <c r="H130" s="1">
        <v>44.1</v>
      </c>
      <c r="I130" s="1">
        <v>18.0</v>
      </c>
      <c r="J130" s="1">
        <v>210.0</v>
      </c>
      <c r="K130" s="1">
        <v>4000.0</v>
      </c>
      <c r="L130" s="1" t="s">
        <v>18</v>
      </c>
    </row>
    <row r="131" ht="14.25" customHeight="1">
      <c r="A131" s="1" t="s">
        <v>124</v>
      </c>
      <c r="B131" s="1">
        <v>131.0</v>
      </c>
      <c r="C131" s="1" t="s">
        <v>13</v>
      </c>
      <c r="D131" s="1" t="s">
        <v>14</v>
      </c>
      <c r="E131" s="1" t="s">
        <v>162</v>
      </c>
      <c r="F131" s="1" t="s">
        <v>26</v>
      </c>
      <c r="G131" s="1" t="s">
        <v>163</v>
      </c>
      <c r="H131" s="1">
        <v>38.5</v>
      </c>
      <c r="I131" s="1">
        <v>17.9</v>
      </c>
      <c r="J131" s="1">
        <v>190.0</v>
      </c>
      <c r="K131" s="1">
        <v>3325.0</v>
      </c>
      <c r="L131" s="1" t="s">
        <v>20</v>
      </c>
    </row>
    <row r="132" ht="14.25" customHeight="1">
      <c r="A132" s="1" t="s">
        <v>124</v>
      </c>
      <c r="B132" s="1">
        <v>132.0</v>
      </c>
      <c r="C132" s="1" t="s">
        <v>13</v>
      </c>
      <c r="D132" s="1" t="s">
        <v>14</v>
      </c>
      <c r="E132" s="1" t="s">
        <v>164</v>
      </c>
      <c r="F132" s="1" t="s">
        <v>26</v>
      </c>
      <c r="G132" s="1" t="s">
        <v>163</v>
      </c>
      <c r="H132" s="1">
        <v>43.1</v>
      </c>
      <c r="I132" s="1">
        <v>19.2</v>
      </c>
      <c r="J132" s="1">
        <v>197.0</v>
      </c>
      <c r="K132" s="1">
        <v>3500.0</v>
      </c>
      <c r="L132" s="1" t="s">
        <v>18</v>
      </c>
    </row>
    <row r="133" ht="14.25" customHeight="1">
      <c r="A133" s="1" t="s">
        <v>124</v>
      </c>
      <c r="B133" s="1">
        <v>133.0</v>
      </c>
      <c r="C133" s="1" t="s">
        <v>13</v>
      </c>
      <c r="D133" s="1" t="s">
        <v>56</v>
      </c>
      <c r="E133" s="1" t="s">
        <v>165</v>
      </c>
      <c r="F133" s="1" t="s">
        <v>16</v>
      </c>
      <c r="G133" s="1" t="s">
        <v>166</v>
      </c>
      <c r="H133" s="1">
        <v>36.8</v>
      </c>
      <c r="I133" s="1">
        <v>18.5</v>
      </c>
      <c r="J133" s="1">
        <v>193.0</v>
      </c>
      <c r="K133" s="1">
        <v>3500.0</v>
      </c>
      <c r="L133" s="1" t="s">
        <v>20</v>
      </c>
    </row>
    <row r="134" ht="14.25" customHeight="1">
      <c r="A134" s="1" t="s">
        <v>124</v>
      </c>
      <c r="B134" s="1">
        <v>134.0</v>
      </c>
      <c r="C134" s="1" t="s">
        <v>13</v>
      </c>
      <c r="D134" s="1" t="s">
        <v>56</v>
      </c>
      <c r="E134" s="1" t="s">
        <v>167</v>
      </c>
      <c r="F134" s="1" t="s">
        <v>16</v>
      </c>
      <c r="G134" s="1" t="s">
        <v>166</v>
      </c>
      <c r="H134" s="1">
        <v>37.5</v>
      </c>
      <c r="I134" s="1">
        <v>18.5</v>
      </c>
      <c r="J134" s="1">
        <v>199.0</v>
      </c>
      <c r="K134" s="1">
        <v>4475.0</v>
      </c>
      <c r="L134" s="1" t="s">
        <v>18</v>
      </c>
    </row>
    <row r="135" ht="14.25" customHeight="1">
      <c r="A135" s="1" t="s">
        <v>124</v>
      </c>
      <c r="B135" s="1">
        <v>135.0</v>
      </c>
      <c r="C135" s="1" t="s">
        <v>13</v>
      </c>
      <c r="D135" s="1" t="s">
        <v>56</v>
      </c>
      <c r="E135" s="1" t="s">
        <v>168</v>
      </c>
      <c r="F135" s="1" t="s">
        <v>16</v>
      </c>
      <c r="G135" s="1" t="s">
        <v>169</v>
      </c>
      <c r="H135" s="1">
        <v>38.1</v>
      </c>
      <c r="I135" s="1">
        <v>17.6</v>
      </c>
      <c r="J135" s="1">
        <v>187.0</v>
      </c>
      <c r="K135" s="1">
        <v>3425.0</v>
      </c>
      <c r="L135" s="1" t="s">
        <v>20</v>
      </c>
    </row>
    <row r="136" ht="14.25" customHeight="1">
      <c r="A136" s="1" t="s">
        <v>124</v>
      </c>
      <c r="B136" s="1">
        <v>136.0</v>
      </c>
      <c r="C136" s="1" t="s">
        <v>13</v>
      </c>
      <c r="D136" s="1" t="s">
        <v>56</v>
      </c>
      <c r="E136" s="1" t="s">
        <v>170</v>
      </c>
      <c r="F136" s="1" t="s">
        <v>16</v>
      </c>
      <c r="G136" s="1" t="s">
        <v>169</v>
      </c>
      <c r="H136" s="1">
        <v>41.1</v>
      </c>
      <c r="I136" s="1">
        <v>17.5</v>
      </c>
      <c r="J136" s="1">
        <v>190.0</v>
      </c>
      <c r="K136" s="1">
        <v>3900.0</v>
      </c>
      <c r="L136" s="1" t="s">
        <v>18</v>
      </c>
    </row>
    <row r="137" ht="14.25" customHeight="1">
      <c r="A137" s="1" t="s">
        <v>124</v>
      </c>
      <c r="B137" s="1">
        <v>137.0</v>
      </c>
      <c r="C137" s="1" t="s">
        <v>13</v>
      </c>
      <c r="D137" s="1" t="s">
        <v>56</v>
      </c>
      <c r="E137" s="1" t="s">
        <v>171</v>
      </c>
      <c r="F137" s="1" t="s">
        <v>16</v>
      </c>
      <c r="G137" s="1" t="s">
        <v>153</v>
      </c>
      <c r="H137" s="1">
        <v>35.6</v>
      </c>
      <c r="I137" s="1">
        <v>17.5</v>
      </c>
      <c r="J137" s="1">
        <v>191.0</v>
      </c>
      <c r="K137" s="1">
        <v>3175.0</v>
      </c>
      <c r="L137" s="1" t="s">
        <v>20</v>
      </c>
    </row>
    <row r="138" ht="14.25" customHeight="1">
      <c r="A138" s="1" t="s">
        <v>124</v>
      </c>
      <c r="B138" s="1">
        <v>138.0</v>
      </c>
      <c r="C138" s="1" t="s">
        <v>13</v>
      </c>
      <c r="D138" s="1" t="s">
        <v>56</v>
      </c>
      <c r="E138" s="1" t="s">
        <v>172</v>
      </c>
      <c r="F138" s="1" t="s">
        <v>16</v>
      </c>
      <c r="G138" s="1" t="s">
        <v>153</v>
      </c>
      <c r="H138" s="1">
        <v>40.2</v>
      </c>
      <c r="I138" s="1">
        <v>20.1</v>
      </c>
      <c r="J138" s="1">
        <v>200.0</v>
      </c>
      <c r="K138" s="1">
        <v>3975.0</v>
      </c>
      <c r="L138" s="1" t="s">
        <v>18</v>
      </c>
    </row>
    <row r="139" ht="14.25" customHeight="1">
      <c r="A139" s="1" t="s">
        <v>124</v>
      </c>
      <c r="B139" s="1">
        <v>139.0</v>
      </c>
      <c r="C139" s="1" t="s">
        <v>13</v>
      </c>
      <c r="D139" s="1" t="s">
        <v>56</v>
      </c>
      <c r="E139" s="1" t="s">
        <v>173</v>
      </c>
      <c r="F139" s="1" t="s">
        <v>26</v>
      </c>
      <c r="G139" s="1" t="s">
        <v>153</v>
      </c>
      <c r="H139" s="1">
        <v>37.0</v>
      </c>
      <c r="I139" s="1">
        <v>16.5</v>
      </c>
      <c r="J139" s="1">
        <v>185.0</v>
      </c>
      <c r="K139" s="1">
        <v>3400.0</v>
      </c>
      <c r="L139" s="1" t="s">
        <v>20</v>
      </c>
    </row>
    <row r="140" ht="14.25" customHeight="1">
      <c r="A140" s="1" t="s">
        <v>124</v>
      </c>
      <c r="B140" s="1">
        <v>140.0</v>
      </c>
      <c r="C140" s="1" t="s">
        <v>13</v>
      </c>
      <c r="D140" s="1" t="s">
        <v>56</v>
      </c>
      <c r="E140" s="1" t="s">
        <v>174</v>
      </c>
      <c r="F140" s="1" t="s">
        <v>26</v>
      </c>
      <c r="G140" s="1" t="s">
        <v>153</v>
      </c>
      <c r="H140" s="1">
        <v>39.7</v>
      </c>
      <c r="I140" s="1">
        <v>17.9</v>
      </c>
      <c r="J140" s="1">
        <v>193.0</v>
      </c>
      <c r="K140" s="1">
        <v>4250.0</v>
      </c>
      <c r="L140" s="1" t="s">
        <v>18</v>
      </c>
    </row>
    <row r="141" ht="14.25" customHeight="1">
      <c r="A141" s="1" t="s">
        <v>124</v>
      </c>
      <c r="B141" s="1">
        <v>141.0</v>
      </c>
      <c r="C141" s="1" t="s">
        <v>13</v>
      </c>
      <c r="D141" s="1" t="s">
        <v>56</v>
      </c>
      <c r="E141" s="1" t="s">
        <v>175</v>
      </c>
      <c r="F141" s="1" t="s">
        <v>16</v>
      </c>
      <c r="G141" s="1" t="s">
        <v>176</v>
      </c>
      <c r="H141" s="1">
        <v>40.2</v>
      </c>
      <c r="I141" s="1">
        <v>17.1</v>
      </c>
      <c r="J141" s="1">
        <v>193.0</v>
      </c>
      <c r="K141" s="1">
        <v>3400.0</v>
      </c>
      <c r="L141" s="1" t="s">
        <v>20</v>
      </c>
    </row>
    <row r="142" ht="14.25" customHeight="1">
      <c r="A142" s="1" t="s">
        <v>124</v>
      </c>
      <c r="B142" s="1">
        <v>142.0</v>
      </c>
      <c r="C142" s="1" t="s">
        <v>13</v>
      </c>
      <c r="D142" s="1" t="s">
        <v>56</v>
      </c>
      <c r="E142" s="1" t="s">
        <v>177</v>
      </c>
      <c r="F142" s="1" t="s">
        <v>16</v>
      </c>
      <c r="G142" s="1" t="s">
        <v>176</v>
      </c>
      <c r="H142" s="1">
        <v>40.6</v>
      </c>
      <c r="I142" s="1">
        <v>17.2</v>
      </c>
      <c r="J142" s="1">
        <v>187.0</v>
      </c>
      <c r="K142" s="1">
        <v>3475.0</v>
      </c>
      <c r="L142" s="1" t="s">
        <v>18</v>
      </c>
    </row>
    <row r="143" ht="14.25" customHeight="1">
      <c r="A143" s="1" t="s">
        <v>124</v>
      </c>
      <c r="B143" s="1">
        <v>143.0</v>
      </c>
      <c r="C143" s="1" t="s">
        <v>13</v>
      </c>
      <c r="D143" s="1" t="s">
        <v>56</v>
      </c>
      <c r="E143" s="1" t="s">
        <v>178</v>
      </c>
      <c r="F143" s="1" t="s">
        <v>16</v>
      </c>
      <c r="G143" s="1" t="s">
        <v>153</v>
      </c>
      <c r="H143" s="1">
        <v>32.1</v>
      </c>
      <c r="I143" s="1">
        <v>15.5</v>
      </c>
      <c r="J143" s="1">
        <v>188.0</v>
      </c>
      <c r="K143" s="1">
        <v>3050.0</v>
      </c>
      <c r="L143" s="1" t="s">
        <v>20</v>
      </c>
    </row>
    <row r="144" ht="14.25" customHeight="1">
      <c r="A144" s="1" t="s">
        <v>124</v>
      </c>
      <c r="B144" s="1">
        <v>144.0</v>
      </c>
      <c r="C144" s="1" t="s">
        <v>13</v>
      </c>
      <c r="D144" s="1" t="s">
        <v>56</v>
      </c>
      <c r="E144" s="1" t="s">
        <v>179</v>
      </c>
      <c r="F144" s="1" t="s">
        <v>16</v>
      </c>
      <c r="G144" s="1" t="s">
        <v>153</v>
      </c>
      <c r="H144" s="1">
        <v>40.7</v>
      </c>
      <c r="I144" s="1">
        <v>17.0</v>
      </c>
      <c r="J144" s="1">
        <v>190.0</v>
      </c>
      <c r="K144" s="1">
        <v>3725.0</v>
      </c>
      <c r="L144" s="1" t="s">
        <v>18</v>
      </c>
    </row>
    <row r="145" ht="14.25" customHeight="1">
      <c r="A145" s="1" t="s">
        <v>124</v>
      </c>
      <c r="B145" s="1">
        <v>145.0</v>
      </c>
      <c r="C145" s="1" t="s">
        <v>13</v>
      </c>
      <c r="D145" s="1" t="s">
        <v>56</v>
      </c>
      <c r="E145" s="1" t="s">
        <v>180</v>
      </c>
      <c r="F145" s="1" t="s">
        <v>16</v>
      </c>
      <c r="G145" s="1" t="s">
        <v>153</v>
      </c>
      <c r="H145" s="1">
        <v>37.3</v>
      </c>
      <c r="I145" s="1">
        <v>16.8</v>
      </c>
      <c r="J145" s="1">
        <v>192.0</v>
      </c>
      <c r="K145" s="1">
        <v>3000.0</v>
      </c>
      <c r="L145" s="1" t="s">
        <v>20</v>
      </c>
    </row>
    <row r="146" ht="14.25" customHeight="1">
      <c r="A146" s="1" t="s">
        <v>124</v>
      </c>
      <c r="B146" s="1">
        <v>146.0</v>
      </c>
      <c r="C146" s="1" t="s">
        <v>13</v>
      </c>
      <c r="D146" s="1" t="s">
        <v>56</v>
      </c>
      <c r="E146" s="1" t="s">
        <v>181</v>
      </c>
      <c r="F146" s="1" t="s">
        <v>16</v>
      </c>
      <c r="G146" s="1" t="s">
        <v>153</v>
      </c>
      <c r="H146" s="1">
        <v>39.0</v>
      </c>
      <c r="I146" s="1">
        <v>18.7</v>
      </c>
      <c r="J146" s="1">
        <v>185.0</v>
      </c>
      <c r="K146" s="1">
        <v>3650.0</v>
      </c>
      <c r="L146" s="1" t="s">
        <v>18</v>
      </c>
    </row>
    <row r="147" ht="14.25" customHeight="1">
      <c r="A147" s="1" t="s">
        <v>124</v>
      </c>
      <c r="B147" s="1">
        <v>147.0</v>
      </c>
      <c r="C147" s="1" t="s">
        <v>13</v>
      </c>
      <c r="D147" s="1" t="s">
        <v>56</v>
      </c>
      <c r="E147" s="1" t="s">
        <v>182</v>
      </c>
      <c r="F147" s="1" t="s">
        <v>16</v>
      </c>
      <c r="G147" s="1" t="s">
        <v>169</v>
      </c>
      <c r="H147" s="1">
        <v>39.2</v>
      </c>
      <c r="I147" s="1">
        <v>18.6</v>
      </c>
      <c r="J147" s="1">
        <v>190.0</v>
      </c>
      <c r="K147" s="1">
        <v>4250.0</v>
      </c>
      <c r="L147" s="1" t="s">
        <v>18</v>
      </c>
    </row>
    <row r="148" ht="14.25" customHeight="1">
      <c r="A148" s="1" t="s">
        <v>124</v>
      </c>
      <c r="B148" s="1">
        <v>148.0</v>
      </c>
      <c r="C148" s="1" t="s">
        <v>13</v>
      </c>
      <c r="D148" s="1" t="s">
        <v>56</v>
      </c>
      <c r="E148" s="1" t="s">
        <v>183</v>
      </c>
      <c r="F148" s="1" t="s">
        <v>16</v>
      </c>
      <c r="G148" s="1" t="s">
        <v>169</v>
      </c>
      <c r="H148" s="1">
        <v>36.6</v>
      </c>
      <c r="I148" s="1">
        <v>18.4</v>
      </c>
      <c r="J148" s="1">
        <v>184.0</v>
      </c>
      <c r="K148" s="1">
        <v>3475.0</v>
      </c>
      <c r="L148" s="1" t="s">
        <v>20</v>
      </c>
    </row>
    <row r="149" ht="14.25" customHeight="1">
      <c r="A149" s="1" t="s">
        <v>124</v>
      </c>
      <c r="B149" s="1">
        <v>149.0</v>
      </c>
      <c r="C149" s="1" t="s">
        <v>13</v>
      </c>
      <c r="D149" s="1" t="s">
        <v>56</v>
      </c>
      <c r="E149" s="1" t="s">
        <v>184</v>
      </c>
      <c r="F149" s="1" t="s">
        <v>16</v>
      </c>
      <c r="G149" s="1" t="s">
        <v>142</v>
      </c>
      <c r="H149" s="1">
        <v>36.0</v>
      </c>
      <c r="I149" s="1">
        <v>17.8</v>
      </c>
      <c r="J149" s="1">
        <v>195.0</v>
      </c>
      <c r="K149" s="1">
        <v>3450.0</v>
      </c>
      <c r="L149" s="1" t="s">
        <v>20</v>
      </c>
    </row>
    <row r="150" ht="14.25" customHeight="1">
      <c r="A150" s="1" t="s">
        <v>124</v>
      </c>
      <c r="B150" s="1">
        <v>150.0</v>
      </c>
      <c r="C150" s="1" t="s">
        <v>13</v>
      </c>
      <c r="D150" s="1" t="s">
        <v>56</v>
      </c>
      <c r="E150" s="1" t="s">
        <v>185</v>
      </c>
      <c r="F150" s="1" t="s">
        <v>16</v>
      </c>
      <c r="G150" s="1" t="s">
        <v>142</v>
      </c>
      <c r="H150" s="1">
        <v>37.8</v>
      </c>
      <c r="I150" s="1">
        <v>18.1</v>
      </c>
      <c r="J150" s="1">
        <v>193.0</v>
      </c>
      <c r="K150" s="1">
        <v>3750.0</v>
      </c>
      <c r="L150" s="1" t="s">
        <v>18</v>
      </c>
    </row>
    <row r="151" ht="14.25" customHeight="1">
      <c r="A151" s="1" t="s">
        <v>124</v>
      </c>
      <c r="B151" s="1">
        <v>151.0</v>
      </c>
      <c r="C151" s="1" t="s">
        <v>13</v>
      </c>
      <c r="D151" s="1" t="s">
        <v>56</v>
      </c>
      <c r="E151" s="1" t="s">
        <v>186</v>
      </c>
      <c r="F151" s="1" t="s">
        <v>16</v>
      </c>
      <c r="G151" s="1" t="s">
        <v>142</v>
      </c>
      <c r="H151" s="1">
        <v>36.0</v>
      </c>
      <c r="I151" s="1">
        <v>17.1</v>
      </c>
      <c r="J151" s="1">
        <v>187.0</v>
      </c>
      <c r="K151" s="1">
        <v>3700.0</v>
      </c>
      <c r="L151" s="1" t="s">
        <v>20</v>
      </c>
    </row>
    <row r="152" ht="14.25" customHeight="1">
      <c r="A152" s="1" t="s">
        <v>124</v>
      </c>
      <c r="B152" s="1">
        <v>152.0</v>
      </c>
      <c r="C152" s="1" t="s">
        <v>13</v>
      </c>
      <c r="D152" s="1" t="s">
        <v>56</v>
      </c>
      <c r="E152" s="1" t="s">
        <v>187</v>
      </c>
      <c r="F152" s="1" t="s">
        <v>16</v>
      </c>
      <c r="G152" s="1" t="s">
        <v>142</v>
      </c>
      <c r="H152" s="1">
        <v>41.5</v>
      </c>
      <c r="I152" s="1">
        <v>18.5</v>
      </c>
      <c r="J152" s="1">
        <v>201.0</v>
      </c>
      <c r="K152" s="1">
        <v>4000.0</v>
      </c>
      <c r="L152" s="1" t="s">
        <v>18</v>
      </c>
    </row>
    <row r="153" ht="14.25" customHeight="1">
      <c r="A153" s="1" t="s">
        <v>12</v>
      </c>
      <c r="B153" s="1">
        <v>1.0</v>
      </c>
      <c r="C153" s="1" t="s">
        <v>188</v>
      </c>
      <c r="D153" s="1" t="s">
        <v>44</v>
      </c>
      <c r="E153" s="1" t="s">
        <v>189</v>
      </c>
      <c r="F153" s="1" t="s">
        <v>16</v>
      </c>
      <c r="G153" s="1" t="s">
        <v>190</v>
      </c>
      <c r="H153" s="1">
        <v>46.1</v>
      </c>
      <c r="I153" s="1">
        <v>13.2</v>
      </c>
      <c r="J153" s="1">
        <v>211.0</v>
      </c>
      <c r="K153" s="1">
        <v>4500.0</v>
      </c>
      <c r="L153" s="1" t="s">
        <v>20</v>
      </c>
    </row>
    <row r="154" ht="14.25" customHeight="1">
      <c r="A154" s="1" t="s">
        <v>12</v>
      </c>
      <c r="B154" s="1">
        <v>2.0</v>
      </c>
      <c r="C154" s="1" t="s">
        <v>188</v>
      </c>
      <c r="D154" s="1" t="s">
        <v>44</v>
      </c>
      <c r="E154" s="1" t="s">
        <v>191</v>
      </c>
      <c r="F154" s="1" t="s">
        <v>16</v>
      </c>
      <c r="G154" s="1" t="s">
        <v>190</v>
      </c>
      <c r="H154" s="1">
        <v>50.0</v>
      </c>
      <c r="I154" s="1">
        <v>16.3</v>
      </c>
      <c r="J154" s="1">
        <v>230.0</v>
      </c>
      <c r="K154" s="1">
        <v>5700.0</v>
      </c>
      <c r="L154" s="1" t="s">
        <v>18</v>
      </c>
    </row>
    <row r="155" ht="14.25" customHeight="1">
      <c r="A155" s="1" t="s">
        <v>12</v>
      </c>
      <c r="B155" s="1">
        <v>3.0</v>
      </c>
      <c r="C155" s="1" t="s">
        <v>188</v>
      </c>
      <c r="D155" s="1" t="s">
        <v>44</v>
      </c>
      <c r="E155" s="1" t="s">
        <v>84</v>
      </c>
      <c r="F155" s="1" t="s">
        <v>16</v>
      </c>
      <c r="G155" s="1" t="s">
        <v>190</v>
      </c>
      <c r="H155" s="1">
        <v>48.7</v>
      </c>
      <c r="I155" s="1">
        <v>14.1</v>
      </c>
      <c r="J155" s="1">
        <v>210.0</v>
      </c>
      <c r="K155" s="1">
        <v>4450.0</v>
      </c>
      <c r="L155" s="1" t="s">
        <v>20</v>
      </c>
    </row>
    <row r="156" ht="14.25" customHeight="1">
      <c r="A156" s="1" t="s">
        <v>12</v>
      </c>
      <c r="B156" s="1">
        <v>4.0</v>
      </c>
      <c r="C156" s="1" t="s">
        <v>188</v>
      </c>
      <c r="D156" s="1" t="s">
        <v>44</v>
      </c>
      <c r="E156" s="1" t="s">
        <v>86</v>
      </c>
      <c r="F156" s="1" t="s">
        <v>16</v>
      </c>
      <c r="G156" s="1" t="s">
        <v>190</v>
      </c>
      <c r="H156" s="1">
        <v>50.0</v>
      </c>
      <c r="I156" s="1">
        <v>15.2</v>
      </c>
      <c r="J156" s="1">
        <v>218.0</v>
      </c>
      <c r="K156" s="1">
        <v>5700.0</v>
      </c>
      <c r="L156" s="1" t="s">
        <v>18</v>
      </c>
    </row>
    <row r="157" ht="14.25" customHeight="1">
      <c r="A157" s="1" t="s">
        <v>12</v>
      </c>
      <c r="B157" s="1">
        <v>5.0</v>
      </c>
      <c r="C157" s="1" t="s">
        <v>188</v>
      </c>
      <c r="D157" s="1" t="s">
        <v>44</v>
      </c>
      <c r="E157" s="1" t="s">
        <v>192</v>
      </c>
      <c r="F157" s="1" t="s">
        <v>16</v>
      </c>
      <c r="G157" s="1" t="s">
        <v>193</v>
      </c>
      <c r="H157" s="1">
        <v>47.6</v>
      </c>
      <c r="I157" s="1">
        <v>14.5</v>
      </c>
      <c r="J157" s="1">
        <v>215.0</v>
      </c>
      <c r="K157" s="1">
        <v>5400.0</v>
      </c>
      <c r="L157" s="1" t="s">
        <v>18</v>
      </c>
    </row>
    <row r="158" ht="14.25" customHeight="1">
      <c r="A158" s="1" t="s">
        <v>12</v>
      </c>
      <c r="B158" s="1">
        <v>6.0</v>
      </c>
      <c r="C158" s="1" t="s">
        <v>188</v>
      </c>
      <c r="D158" s="1" t="s">
        <v>44</v>
      </c>
      <c r="E158" s="1" t="s">
        <v>194</v>
      </c>
      <c r="F158" s="1" t="s">
        <v>16</v>
      </c>
      <c r="G158" s="1" t="s">
        <v>193</v>
      </c>
      <c r="H158" s="1">
        <v>46.5</v>
      </c>
      <c r="I158" s="1">
        <v>13.5</v>
      </c>
      <c r="J158" s="1">
        <v>210.0</v>
      </c>
      <c r="K158" s="1">
        <v>4550.0</v>
      </c>
      <c r="L158" s="1" t="s">
        <v>20</v>
      </c>
    </row>
    <row r="159" ht="14.25" customHeight="1">
      <c r="A159" s="1" t="s">
        <v>12</v>
      </c>
      <c r="B159" s="1">
        <v>7.0</v>
      </c>
      <c r="C159" s="1" t="s">
        <v>188</v>
      </c>
      <c r="D159" s="1" t="s">
        <v>44</v>
      </c>
      <c r="E159" s="1" t="s">
        <v>87</v>
      </c>
      <c r="F159" s="1" t="s">
        <v>16</v>
      </c>
      <c r="G159" s="1" t="s">
        <v>190</v>
      </c>
      <c r="H159" s="1">
        <v>45.4</v>
      </c>
      <c r="I159" s="1">
        <v>14.6</v>
      </c>
      <c r="J159" s="1">
        <v>211.0</v>
      </c>
      <c r="K159" s="1">
        <v>4800.0</v>
      </c>
      <c r="L159" s="1" t="s">
        <v>20</v>
      </c>
    </row>
    <row r="160" ht="14.25" customHeight="1">
      <c r="A160" s="1" t="s">
        <v>12</v>
      </c>
      <c r="B160" s="1">
        <v>8.0</v>
      </c>
      <c r="C160" s="1" t="s">
        <v>188</v>
      </c>
      <c r="D160" s="1" t="s">
        <v>44</v>
      </c>
      <c r="E160" s="1" t="s">
        <v>89</v>
      </c>
      <c r="F160" s="1" t="s">
        <v>16</v>
      </c>
      <c r="G160" s="1" t="s">
        <v>190</v>
      </c>
      <c r="H160" s="1">
        <v>46.7</v>
      </c>
      <c r="I160" s="1">
        <v>15.3</v>
      </c>
      <c r="J160" s="1">
        <v>219.0</v>
      </c>
      <c r="K160" s="1">
        <v>5200.0</v>
      </c>
      <c r="L160" s="1" t="s">
        <v>18</v>
      </c>
    </row>
    <row r="161" ht="14.25" customHeight="1">
      <c r="A161" s="1" t="s">
        <v>12</v>
      </c>
      <c r="B161" s="1">
        <v>9.0</v>
      </c>
      <c r="C161" s="1" t="s">
        <v>188</v>
      </c>
      <c r="D161" s="1" t="s">
        <v>44</v>
      </c>
      <c r="E161" s="1" t="s">
        <v>90</v>
      </c>
      <c r="F161" s="1" t="s">
        <v>16</v>
      </c>
      <c r="G161" s="1" t="s">
        <v>190</v>
      </c>
      <c r="H161" s="1">
        <v>43.3</v>
      </c>
      <c r="I161" s="1">
        <v>13.4</v>
      </c>
      <c r="J161" s="1">
        <v>209.0</v>
      </c>
      <c r="K161" s="1">
        <v>4400.0</v>
      </c>
      <c r="L161" s="1" t="s">
        <v>20</v>
      </c>
    </row>
    <row r="162" ht="14.25" customHeight="1">
      <c r="A162" s="1" t="s">
        <v>12</v>
      </c>
      <c r="B162" s="1">
        <v>10.0</v>
      </c>
      <c r="C162" s="1" t="s">
        <v>188</v>
      </c>
      <c r="D162" s="1" t="s">
        <v>44</v>
      </c>
      <c r="E162" s="1" t="s">
        <v>91</v>
      </c>
      <c r="F162" s="1" t="s">
        <v>16</v>
      </c>
      <c r="G162" s="1" t="s">
        <v>190</v>
      </c>
      <c r="H162" s="1">
        <v>46.8</v>
      </c>
      <c r="I162" s="1">
        <v>15.4</v>
      </c>
      <c r="J162" s="1">
        <v>215.0</v>
      </c>
      <c r="K162" s="1">
        <v>5150.0</v>
      </c>
      <c r="L162" s="1" t="s">
        <v>18</v>
      </c>
    </row>
    <row r="163" ht="14.25" customHeight="1">
      <c r="A163" s="1" t="s">
        <v>12</v>
      </c>
      <c r="B163" s="1">
        <v>11.0</v>
      </c>
      <c r="C163" s="1" t="s">
        <v>188</v>
      </c>
      <c r="D163" s="1" t="s">
        <v>44</v>
      </c>
      <c r="E163" s="1" t="s">
        <v>92</v>
      </c>
      <c r="F163" s="1" t="s">
        <v>26</v>
      </c>
      <c r="G163" s="1" t="s">
        <v>190</v>
      </c>
      <c r="H163" s="1">
        <v>40.9</v>
      </c>
      <c r="I163" s="1">
        <v>13.7</v>
      </c>
      <c r="J163" s="1">
        <v>214.0</v>
      </c>
      <c r="K163" s="1">
        <v>4650.0</v>
      </c>
      <c r="L163" s="1" t="s">
        <v>20</v>
      </c>
    </row>
    <row r="164" ht="14.25" customHeight="1">
      <c r="A164" s="1" t="s">
        <v>12</v>
      </c>
      <c r="B164" s="1">
        <v>12.0</v>
      </c>
      <c r="C164" s="1" t="s">
        <v>188</v>
      </c>
      <c r="D164" s="1" t="s">
        <v>44</v>
      </c>
      <c r="E164" s="1" t="s">
        <v>94</v>
      </c>
      <c r="F164" s="1" t="s">
        <v>26</v>
      </c>
      <c r="G164" s="1" t="s">
        <v>190</v>
      </c>
      <c r="H164" s="1">
        <v>49.0</v>
      </c>
      <c r="I164" s="1">
        <v>16.1</v>
      </c>
      <c r="J164" s="1">
        <v>216.0</v>
      </c>
      <c r="K164" s="1">
        <v>5550.0</v>
      </c>
      <c r="L164" s="1" t="s">
        <v>18</v>
      </c>
    </row>
    <row r="165" ht="14.25" customHeight="1">
      <c r="A165" s="1" t="s">
        <v>12</v>
      </c>
      <c r="B165" s="1">
        <v>13.0</v>
      </c>
      <c r="C165" s="1" t="s">
        <v>188</v>
      </c>
      <c r="D165" s="1" t="s">
        <v>44</v>
      </c>
      <c r="E165" s="1" t="s">
        <v>95</v>
      </c>
      <c r="F165" s="1" t="s">
        <v>16</v>
      </c>
      <c r="G165" s="1" t="s">
        <v>195</v>
      </c>
      <c r="H165" s="1">
        <v>45.5</v>
      </c>
      <c r="I165" s="1">
        <v>13.7</v>
      </c>
      <c r="J165" s="1">
        <v>214.0</v>
      </c>
      <c r="K165" s="1">
        <v>4650.0</v>
      </c>
      <c r="L165" s="1" t="s">
        <v>20</v>
      </c>
    </row>
    <row r="166" ht="14.25" customHeight="1">
      <c r="A166" s="1" t="s">
        <v>12</v>
      </c>
      <c r="B166" s="1">
        <v>14.0</v>
      </c>
      <c r="C166" s="1" t="s">
        <v>188</v>
      </c>
      <c r="D166" s="1" t="s">
        <v>44</v>
      </c>
      <c r="E166" s="1" t="s">
        <v>96</v>
      </c>
      <c r="F166" s="1" t="s">
        <v>16</v>
      </c>
      <c r="G166" s="1" t="s">
        <v>195</v>
      </c>
      <c r="H166" s="1">
        <v>48.4</v>
      </c>
      <c r="I166" s="1">
        <v>14.6</v>
      </c>
      <c r="J166" s="1">
        <v>213.0</v>
      </c>
      <c r="K166" s="1">
        <v>5850.0</v>
      </c>
      <c r="L166" s="1" t="s">
        <v>18</v>
      </c>
    </row>
    <row r="167" ht="14.25" customHeight="1">
      <c r="A167" s="1" t="s">
        <v>12</v>
      </c>
      <c r="B167" s="1">
        <v>15.0</v>
      </c>
      <c r="C167" s="1" t="s">
        <v>188</v>
      </c>
      <c r="D167" s="1" t="s">
        <v>44</v>
      </c>
      <c r="E167" s="1" t="s">
        <v>97</v>
      </c>
      <c r="F167" s="1" t="s">
        <v>16</v>
      </c>
      <c r="G167" s="1" t="s">
        <v>196</v>
      </c>
      <c r="H167" s="1">
        <v>45.8</v>
      </c>
      <c r="I167" s="1">
        <v>14.6</v>
      </c>
      <c r="J167" s="1">
        <v>210.0</v>
      </c>
      <c r="K167" s="1">
        <v>4200.0</v>
      </c>
      <c r="L167" s="1" t="s">
        <v>20</v>
      </c>
    </row>
    <row r="168" ht="14.25" customHeight="1">
      <c r="A168" s="1" t="s">
        <v>12</v>
      </c>
      <c r="B168" s="1">
        <v>16.0</v>
      </c>
      <c r="C168" s="1" t="s">
        <v>188</v>
      </c>
      <c r="D168" s="1" t="s">
        <v>44</v>
      </c>
      <c r="E168" s="1" t="s">
        <v>98</v>
      </c>
      <c r="F168" s="1" t="s">
        <v>16</v>
      </c>
      <c r="G168" s="1" t="s">
        <v>196</v>
      </c>
      <c r="H168" s="1">
        <v>49.3</v>
      </c>
      <c r="I168" s="1">
        <v>15.7</v>
      </c>
      <c r="J168" s="1">
        <v>217.0</v>
      </c>
      <c r="K168" s="1">
        <v>5850.0</v>
      </c>
      <c r="L168" s="1" t="s">
        <v>18</v>
      </c>
    </row>
    <row r="169" ht="14.25" customHeight="1">
      <c r="A169" s="1" t="s">
        <v>12</v>
      </c>
      <c r="B169" s="1">
        <v>17.0</v>
      </c>
      <c r="C169" s="1" t="s">
        <v>188</v>
      </c>
      <c r="D169" s="1" t="s">
        <v>44</v>
      </c>
      <c r="E169" s="1" t="s">
        <v>99</v>
      </c>
      <c r="F169" s="1" t="s">
        <v>16</v>
      </c>
      <c r="G169" s="1" t="s">
        <v>190</v>
      </c>
      <c r="H169" s="1">
        <v>42.0</v>
      </c>
      <c r="I169" s="1">
        <v>13.5</v>
      </c>
      <c r="J169" s="1">
        <v>210.0</v>
      </c>
      <c r="K169" s="1">
        <v>4150.0</v>
      </c>
      <c r="L169" s="1" t="s">
        <v>20</v>
      </c>
    </row>
    <row r="170" ht="14.25" customHeight="1">
      <c r="A170" s="1" t="s">
        <v>12</v>
      </c>
      <c r="B170" s="1">
        <v>18.0</v>
      </c>
      <c r="C170" s="1" t="s">
        <v>188</v>
      </c>
      <c r="D170" s="1" t="s">
        <v>44</v>
      </c>
      <c r="E170" s="1" t="s">
        <v>101</v>
      </c>
      <c r="F170" s="1" t="s">
        <v>16</v>
      </c>
      <c r="G170" s="1" t="s">
        <v>190</v>
      </c>
      <c r="H170" s="1">
        <v>49.2</v>
      </c>
      <c r="I170" s="1">
        <v>15.2</v>
      </c>
      <c r="J170" s="1">
        <v>221.0</v>
      </c>
      <c r="K170" s="1">
        <v>6300.0</v>
      </c>
      <c r="L170" s="1" t="s">
        <v>18</v>
      </c>
    </row>
    <row r="171" ht="14.25" customHeight="1">
      <c r="A171" s="1" t="s">
        <v>12</v>
      </c>
      <c r="B171" s="1">
        <v>19.0</v>
      </c>
      <c r="C171" s="1" t="s">
        <v>188</v>
      </c>
      <c r="D171" s="1" t="s">
        <v>44</v>
      </c>
      <c r="E171" s="1" t="s">
        <v>102</v>
      </c>
      <c r="F171" s="1" t="s">
        <v>16</v>
      </c>
      <c r="G171" s="1" t="s">
        <v>190</v>
      </c>
      <c r="H171" s="1">
        <v>46.2</v>
      </c>
      <c r="I171" s="1">
        <v>14.5</v>
      </c>
      <c r="J171" s="1">
        <v>209.0</v>
      </c>
      <c r="K171" s="1">
        <v>4800.0</v>
      </c>
      <c r="L171" s="1" t="s">
        <v>20</v>
      </c>
    </row>
    <row r="172" ht="14.25" customHeight="1">
      <c r="A172" s="1" t="s">
        <v>12</v>
      </c>
      <c r="B172" s="1">
        <v>20.0</v>
      </c>
      <c r="C172" s="1" t="s">
        <v>188</v>
      </c>
      <c r="D172" s="1" t="s">
        <v>44</v>
      </c>
      <c r="E172" s="1" t="s">
        <v>104</v>
      </c>
      <c r="F172" s="1" t="s">
        <v>16</v>
      </c>
      <c r="G172" s="1" t="s">
        <v>190</v>
      </c>
      <c r="H172" s="1">
        <v>48.7</v>
      </c>
      <c r="I172" s="1">
        <v>15.1</v>
      </c>
      <c r="J172" s="1">
        <v>222.0</v>
      </c>
      <c r="K172" s="1">
        <v>5350.0</v>
      </c>
      <c r="L172" s="1" t="s">
        <v>18</v>
      </c>
    </row>
    <row r="173" ht="14.25" customHeight="1">
      <c r="A173" s="1" t="s">
        <v>12</v>
      </c>
      <c r="B173" s="1">
        <v>21.0</v>
      </c>
      <c r="C173" s="1" t="s">
        <v>188</v>
      </c>
      <c r="D173" s="1" t="s">
        <v>44</v>
      </c>
      <c r="E173" s="1" t="s">
        <v>105</v>
      </c>
      <c r="F173" s="1" t="s">
        <v>16</v>
      </c>
      <c r="G173" s="1" t="s">
        <v>190</v>
      </c>
      <c r="H173" s="1">
        <v>50.2</v>
      </c>
      <c r="I173" s="1">
        <v>14.3</v>
      </c>
      <c r="J173" s="1">
        <v>218.0</v>
      </c>
      <c r="K173" s="1">
        <v>5700.0</v>
      </c>
      <c r="L173" s="1" t="s">
        <v>18</v>
      </c>
    </row>
    <row r="174" ht="14.25" customHeight="1">
      <c r="A174" s="1" t="s">
        <v>12</v>
      </c>
      <c r="B174" s="1">
        <v>22.0</v>
      </c>
      <c r="C174" s="1" t="s">
        <v>188</v>
      </c>
      <c r="D174" s="1" t="s">
        <v>44</v>
      </c>
      <c r="E174" s="1" t="s">
        <v>107</v>
      </c>
      <c r="F174" s="1" t="s">
        <v>16</v>
      </c>
      <c r="G174" s="1" t="s">
        <v>190</v>
      </c>
      <c r="H174" s="1">
        <v>45.1</v>
      </c>
      <c r="I174" s="1">
        <v>14.5</v>
      </c>
      <c r="J174" s="1">
        <v>215.0</v>
      </c>
      <c r="K174" s="1">
        <v>5000.0</v>
      </c>
      <c r="L174" s="1" t="s">
        <v>20</v>
      </c>
    </row>
    <row r="175" ht="14.25" customHeight="1">
      <c r="A175" s="1" t="s">
        <v>12</v>
      </c>
      <c r="B175" s="1">
        <v>23.0</v>
      </c>
      <c r="C175" s="1" t="s">
        <v>188</v>
      </c>
      <c r="D175" s="1" t="s">
        <v>44</v>
      </c>
      <c r="E175" s="1" t="s">
        <v>108</v>
      </c>
      <c r="F175" s="1" t="s">
        <v>16</v>
      </c>
      <c r="G175" s="1" t="s">
        <v>190</v>
      </c>
      <c r="H175" s="1">
        <v>46.5</v>
      </c>
      <c r="I175" s="1">
        <v>14.5</v>
      </c>
      <c r="J175" s="1">
        <v>213.0</v>
      </c>
      <c r="K175" s="1">
        <v>4400.0</v>
      </c>
      <c r="L175" s="1" t="s">
        <v>20</v>
      </c>
    </row>
    <row r="176" ht="14.25" customHeight="1">
      <c r="A176" s="1" t="s">
        <v>12</v>
      </c>
      <c r="B176" s="1">
        <v>24.0</v>
      </c>
      <c r="C176" s="1" t="s">
        <v>188</v>
      </c>
      <c r="D176" s="1" t="s">
        <v>44</v>
      </c>
      <c r="E176" s="1" t="s">
        <v>109</v>
      </c>
      <c r="F176" s="1" t="s">
        <v>16</v>
      </c>
      <c r="G176" s="1" t="s">
        <v>190</v>
      </c>
      <c r="H176" s="1">
        <v>46.3</v>
      </c>
      <c r="I176" s="1">
        <v>15.8</v>
      </c>
      <c r="J176" s="1">
        <v>215.0</v>
      </c>
      <c r="K176" s="1">
        <v>5050.0</v>
      </c>
      <c r="L176" s="1" t="s">
        <v>18</v>
      </c>
    </row>
    <row r="177" ht="14.25" customHeight="1">
      <c r="A177" s="1" t="s">
        <v>12</v>
      </c>
      <c r="B177" s="1">
        <v>25.0</v>
      </c>
      <c r="C177" s="1" t="s">
        <v>188</v>
      </c>
      <c r="D177" s="1" t="s">
        <v>44</v>
      </c>
      <c r="E177" s="1" t="s">
        <v>110</v>
      </c>
      <c r="F177" s="1" t="s">
        <v>16</v>
      </c>
      <c r="G177" s="1" t="s">
        <v>195</v>
      </c>
      <c r="H177" s="1">
        <v>42.9</v>
      </c>
      <c r="I177" s="1">
        <v>13.1</v>
      </c>
      <c r="J177" s="1">
        <v>215.0</v>
      </c>
      <c r="K177" s="1">
        <v>5000.0</v>
      </c>
      <c r="L177" s="1" t="s">
        <v>20</v>
      </c>
    </row>
    <row r="178" ht="14.25" customHeight="1">
      <c r="A178" s="1" t="s">
        <v>12</v>
      </c>
      <c r="B178" s="1">
        <v>26.0</v>
      </c>
      <c r="C178" s="1" t="s">
        <v>188</v>
      </c>
      <c r="D178" s="1" t="s">
        <v>44</v>
      </c>
      <c r="E178" s="1" t="s">
        <v>111</v>
      </c>
      <c r="F178" s="1" t="s">
        <v>16</v>
      </c>
      <c r="G178" s="1" t="s">
        <v>195</v>
      </c>
      <c r="H178" s="1">
        <v>46.1</v>
      </c>
      <c r="I178" s="1">
        <v>15.1</v>
      </c>
      <c r="J178" s="1">
        <v>215.0</v>
      </c>
      <c r="K178" s="1">
        <v>5100.0</v>
      </c>
      <c r="L178" s="1" t="s">
        <v>18</v>
      </c>
    </row>
    <row r="179" ht="14.25" customHeight="1">
      <c r="A179" s="1" t="s">
        <v>12</v>
      </c>
      <c r="B179" s="1">
        <v>27.0</v>
      </c>
      <c r="C179" s="1" t="s">
        <v>188</v>
      </c>
      <c r="D179" s="1" t="s">
        <v>44</v>
      </c>
      <c r="E179" s="1" t="s">
        <v>114</v>
      </c>
      <c r="F179" s="1" t="s">
        <v>16</v>
      </c>
      <c r="G179" s="1" t="s">
        <v>195</v>
      </c>
      <c r="H179" s="1">
        <v>44.5</v>
      </c>
      <c r="I179" s="1">
        <v>14.3</v>
      </c>
      <c r="J179" s="1">
        <v>216.0</v>
      </c>
      <c r="K179" s="1">
        <v>4100.0</v>
      </c>
      <c r="L179" s="1" t="s">
        <v>31</v>
      </c>
    </row>
    <row r="180" ht="14.25" customHeight="1">
      <c r="A180" s="1" t="s">
        <v>12</v>
      </c>
      <c r="B180" s="1">
        <v>28.0</v>
      </c>
      <c r="C180" s="1" t="s">
        <v>188</v>
      </c>
      <c r="D180" s="1" t="s">
        <v>44</v>
      </c>
      <c r="E180" s="1" t="s">
        <v>116</v>
      </c>
      <c r="F180" s="1" t="s">
        <v>16</v>
      </c>
      <c r="G180" s="1" t="s">
        <v>195</v>
      </c>
      <c r="H180" s="1">
        <v>47.8</v>
      </c>
      <c r="I180" s="1">
        <v>15.0</v>
      </c>
      <c r="J180" s="1">
        <v>215.0</v>
      </c>
      <c r="K180" s="1">
        <v>5650.0</v>
      </c>
      <c r="L180" s="1" t="s">
        <v>18</v>
      </c>
    </row>
    <row r="181" ht="14.25" customHeight="1">
      <c r="A181" s="1" t="s">
        <v>12</v>
      </c>
      <c r="B181" s="1">
        <v>29.0</v>
      </c>
      <c r="C181" s="1" t="s">
        <v>188</v>
      </c>
      <c r="D181" s="1" t="s">
        <v>44</v>
      </c>
      <c r="E181" s="1" t="s">
        <v>125</v>
      </c>
      <c r="F181" s="1" t="s">
        <v>16</v>
      </c>
      <c r="G181" s="1" t="s">
        <v>195</v>
      </c>
      <c r="H181" s="1">
        <v>48.2</v>
      </c>
      <c r="I181" s="1">
        <v>14.3</v>
      </c>
      <c r="J181" s="1">
        <v>210.0</v>
      </c>
      <c r="K181" s="1">
        <v>4600.0</v>
      </c>
      <c r="L181" s="1" t="s">
        <v>20</v>
      </c>
    </row>
    <row r="182" ht="14.25" customHeight="1">
      <c r="A182" s="1" t="s">
        <v>12</v>
      </c>
      <c r="B182" s="1">
        <v>30.0</v>
      </c>
      <c r="C182" s="1" t="s">
        <v>188</v>
      </c>
      <c r="D182" s="1" t="s">
        <v>44</v>
      </c>
      <c r="E182" s="1" t="s">
        <v>127</v>
      </c>
      <c r="F182" s="1" t="s">
        <v>16</v>
      </c>
      <c r="G182" s="1" t="s">
        <v>195</v>
      </c>
      <c r="H182" s="1">
        <v>50.0</v>
      </c>
      <c r="I182" s="1">
        <v>15.3</v>
      </c>
      <c r="J182" s="1">
        <v>220.0</v>
      </c>
      <c r="K182" s="1">
        <v>5550.0</v>
      </c>
      <c r="L182" s="1" t="s">
        <v>18</v>
      </c>
    </row>
    <row r="183" ht="14.25" customHeight="1">
      <c r="A183" s="1" t="s">
        <v>12</v>
      </c>
      <c r="B183" s="1">
        <v>31.0</v>
      </c>
      <c r="C183" s="1" t="s">
        <v>188</v>
      </c>
      <c r="D183" s="1" t="s">
        <v>44</v>
      </c>
      <c r="E183" s="1" t="s">
        <v>121</v>
      </c>
      <c r="F183" s="1" t="s">
        <v>16</v>
      </c>
      <c r="G183" s="1" t="s">
        <v>195</v>
      </c>
      <c r="H183" s="1">
        <v>47.3</v>
      </c>
      <c r="I183" s="1">
        <v>15.3</v>
      </c>
      <c r="J183" s="1">
        <v>222.0</v>
      </c>
      <c r="K183" s="1">
        <v>5250.0</v>
      </c>
      <c r="L183" s="1" t="s">
        <v>18</v>
      </c>
    </row>
    <row r="184" ht="14.25" customHeight="1">
      <c r="A184" s="1" t="s">
        <v>12</v>
      </c>
      <c r="B184" s="1">
        <v>32.0</v>
      </c>
      <c r="C184" s="1" t="s">
        <v>188</v>
      </c>
      <c r="D184" s="1" t="s">
        <v>44</v>
      </c>
      <c r="E184" s="1" t="s">
        <v>123</v>
      </c>
      <c r="F184" s="1" t="s">
        <v>16</v>
      </c>
      <c r="G184" s="1" t="s">
        <v>195</v>
      </c>
      <c r="H184" s="1">
        <v>42.8</v>
      </c>
      <c r="I184" s="1">
        <v>14.2</v>
      </c>
      <c r="J184" s="1">
        <v>209.0</v>
      </c>
      <c r="K184" s="1">
        <v>4700.0</v>
      </c>
      <c r="L184" s="1" t="s">
        <v>20</v>
      </c>
    </row>
    <row r="185" ht="14.25" customHeight="1">
      <c r="A185" s="1" t="s">
        <v>12</v>
      </c>
      <c r="B185" s="1">
        <v>33.0</v>
      </c>
      <c r="C185" s="1" t="s">
        <v>188</v>
      </c>
      <c r="D185" s="1" t="s">
        <v>44</v>
      </c>
      <c r="E185" s="1" t="s">
        <v>197</v>
      </c>
      <c r="F185" s="1" t="s">
        <v>16</v>
      </c>
      <c r="G185" s="1" t="s">
        <v>196</v>
      </c>
      <c r="H185" s="1">
        <v>45.1</v>
      </c>
      <c r="I185" s="1">
        <v>14.5</v>
      </c>
      <c r="J185" s="1">
        <v>207.0</v>
      </c>
      <c r="K185" s="1">
        <v>5050.0</v>
      </c>
      <c r="L185" s="1" t="s">
        <v>20</v>
      </c>
    </row>
    <row r="186" ht="14.25" customHeight="1">
      <c r="A186" s="1" t="s">
        <v>12</v>
      </c>
      <c r="B186" s="1">
        <v>34.0</v>
      </c>
      <c r="C186" s="1" t="s">
        <v>188</v>
      </c>
      <c r="D186" s="1" t="s">
        <v>44</v>
      </c>
      <c r="E186" s="1" t="s">
        <v>198</v>
      </c>
      <c r="F186" s="1" t="s">
        <v>16</v>
      </c>
      <c r="G186" s="1" t="s">
        <v>196</v>
      </c>
      <c r="H186" s="1">
        <v>59.6</v>
      </c>
      <c r="I186" s="1">
        <v>17.0</v>
      </c>
      <c r="J186" s="1">
        <v>230.0</v>
      </c>
      <c r="K186" s="1">
        <v>6050.0</v>
      </c>
      <c r="L186" s="1" t="s">
        <v>18</v>
      </c>
    </row>
    <row r="187" ht="14.25" customHeight="1">
      <c r="A187" s="1" t="s">
        <v>79</v>
      </c>
      <c r="B187" s="1">
        <v>35.0</v>
      </c>
      <c r="C187" s="1" t="s">
        <v>188</v>
      </c>
      <c r="D187" s="1" t="s">
        <v>44</v>
      </c>
      <c r="E187" s="1" t="s">
        <v>21</v>
      </c>
      <c r="F187" s="1" t="s">
        <v>16</v>
      </c>
      <c r="G187" s="1" t="s">
        <v>83</v>
      </c>
      <c r="H187" s="1">
        <v>49.1</v>
      </c>
      <c r="I187" s="1">
        <v>14.8</v>
      </c>
      <c r="J187" s="1">
        <v>220.0</v>
      </c>
      <c r="K187" s="1">
        <v>5150.0</v>
      </c>
      <c r="L187" s="1" t="s">
        <v>20</v>
      </c>
    </row>
    <row r="188" ht="14.25" customHeight="1">
      <c r="A188" s="1" t="s">
        <v>79</v>
      </c>
      <c r="B188" s="1">
        <v>36.0</v>
      </c>
      <c r="C188" s="1" t="s">
        <v>188</v>
      </c>
      <c r="D188" s="1" t="s">
        <v>44</v>
      </c>
      <c r="E188" s="1" t="s">
        <v>199</v>
      </c>
      <c r="F188" s="1" t="s">
        <v>16</v>
      </c>
      <c r="G188" s="1" t="s">
        <v>83</v>
      </c>
      <c r="H188" s="1">
        <v>48.4</v>
      </c>
      <c r="I188" s="1">
        <v>16.3</v>
      </c>
      <c r="J188" s="1">
        <v>220.0</v>
      </c>
      <c r="K188" s="1">
        <v>5400.0</v>
      </c>
      <c r="L188" s="1" t="s">
        <v>18</v>
      </c>
    </row>
    <row r="189" ht="14.25" customHeight="1">
      <c r="A189" s="1" t="s">
        <v>79</v>
      </c>
      <c r="B189" s="1">
        <v>37.0</v>
      </c>
      <c r="C189" s="1" t="s">
        <v>188</v>
      </c>
      <c r="D189" s="1" t="s">
        <v>44</v>
      </c>
      <c r="E189" s="1" t="s">
        <v>25</v>
      </c>
      <c r="F189" s="1" t="s">
        <v>16</v>
      </c>
      <c r="G189" s="1" t="s">
        <v>100</v>
      </c>
      <c r="H189" s="1">
        <v>42.6</v>
      </c>
      <c r="I189" s="1">
        <v>13.7</v>
      </c>
      <c r="J189" s="1">
        <v>213.0</v>
      </c>
      <c r="K189" s="1">
        <v>4950.0</v>
      </c>
      <c r="L189" s="1" t="s">
        <v>20</v>
      </c>
    </row>
    <row r="190" ht="14.25" customHeight="1">
      <c r="A190" s="1" t="s">
        <v>79</v>
      </c>
      <c r="B190" s="1">
        <v>38.0</v>
      </c>
      <c r="C190" s="1" t="s">
        <v>188</v>
      </c>
      <c r="D190" s="1" t="s">
        <v>44</v>
      </c>
      <c r="E190" s="1" t="s">
        <v>28</v>
      </c>
      <c r="F190" s="1" t="s">
        <v>16</v>
      </c>
      <c r="G190" s="1" t="s">
        <v>100</v>
      </c>
      <c r="H190" s="1">
        <v>44.4</v>
      </c>
      <c r="I190" s="1">
        <v>17.3</v>
      </c>
      <c r="J190" s="1">
        <v>219.0</v>
      </c>
      <c r="K190" s="1">
        <v>5250.0</v>
      </c>
      <c r="L190" s="1" t="s">
        <v>18</v>
      </c>
    </row>
    <row r="191" ht="14.25" customHeight="1">
      <c r="A191" s="1" t="s">
        <v>79</v>
      </c>
      <c r="B191" s="1">
        <v>39.0</v>
      </c>
      <c r="C191" s="1" t="s">
        <v>188</v>
      </c>
      <c r="D191" s="1" t="s">
        <v>44</v>
      </c>
      <c r="E191" s="1" t="s">
        <v>29</v>
      </c>
      <c r="F191" s="1" t="s">
        <v>16</v>
      </c>
      <c r="G191" s="1" t="s">
        <v>81</v>
      </c>
      <c r="H191" s="1">
        <v>44.0</v>
      </c>
      <c r="I191" s="1">
        <v>13.6</v>
      </c>
      <c r="J191" s="1">
        <v>208.0</v>
      </c>
      <c r="K191" s="1">
        <v>4350.0</v>
      </c>
      <c r="L191" s="1" t="s">
        <v>20</v>
      </c>
    </row>
    <row r="192" ht="14.25" customHeight="1">
      <c r="A192" s="1" t="s">
        <v>79</v>
      </c>
      <c r="B192" s="1">
        <v>40.0</v>
      </c>
      <c r="C192" s="1" t="s">
        <v>188</v>
      </c>
      <c r="D192" s="1" t="s">
        <v>44</v>
      </c>
      <c r="E192" s="1" t="s">
        <v>32</v>
      </c>
      <c r="F192" s="1" t="s">
        <v>16</v>
      </c>
      <c r="G192" s="1" t="s">
        <v>81</v>
      </c>
      <c r="H192" s="1">
        <v>48.7</v>
      </c>
      <c r="I192" s="1">
        <v>15.7</v>
      </c>
      <c r="J192" s="1">
        <v>208.0</v>
      </c>
      <c r="K192" s="1">
        <v>5350.0</v>
      </c>
      <c r="L192" s="1" t="s">
        <v>18</v>
      </c>
    </row>
    <row r="193" ht="14.25" customHeight="1">
      <c r="A193" s="1" t="s">
        <v>79</v>
      </c>
      <c r="B193" s="1">
        <v>41.0</v>
      </c>
      <c r="C193" s="1" t="s">
        <v>188</v>
      </c>
      <c r="D193" s="1" t="s">
        <v>44</v>
      </c>
      <c r="E193" s="1" t="s">
        <v>33</v>
      </c>
      <c r="F193" s="1" t="s">
        <v>26</v>
      </c>
      <c r="G193" s="1" t="s">
        <v>200</v>
      </c>
      <c r="H193" s="1">
        <v>42.7</v>
      </c>
      <c r="I193" s="1">
        <v>13.7</v>
      </c>
      <c r="J193" s="1">
        <v>208.0</v>
      </c>
      <c r="K193" s="1">
        <v>3950.0</v>
      </c>
      <c r="L193" s="1" t="s">
        <v>20</v>
      </c>
    </row>
    <row r="194" ht="14.25" customHeight="1">
      <c r="A194" s="1" t="s">
        <v>79</v>
      </c>
      <c r="B194" s="1">
        <v>42.0</v>
      </c>
      <c r="C194" s="1" t="s">
        <v>188</v>
      </c>
      <c r="D194" s="1" t="s">
        <v>44</v>
      </c>
      <c r="E194" s="1" t="s">
        <v>34</v>
      </c>
      <c r="F194" s="1" t="s">
        <v>26</v>
      </c>
      <c r="G194" s="1" t="s">
        <v>200</v>
      </c>
      <c r="H194" s="1">
        <v>49.6</v>
      </c>
      <c r="I194" s="1">
        <v>16.0</v>
      </c>
      <c r="J194" s="1">
        <v>225.0</v>
      </c>
      <c r="K194" s="1">
        <v>5700.0</v>
      </c>
      <c r="L194" s="1" t="s">
        <v>18</v>
      </c>
    </row>
    <row r="195" ht="14.25" customHeight="1">
      <c r="A195" s="1" t="s">
        <v>79</v>
      </c>
      <c r="B195" s="1">
        <v>43.0</v>
      </c>
      <c r="C195" s="1" t="s">
        <v>188</v>
      </c>
      <c r="D195" s="1" t="s">
        <v>44</v>
      </c>
      <c r="E195" s="1" t="s">
        <v>35</v>
      </c>
      <c r="F195" s="1" t="s">
        <v>16</v>
      </c>
      <c r="G195" s="1" t="s">
        <v>200</v>
      </c>
      <c r="H195" s="1">
        <v>45.3</v>
      </c>
      <c r="I195" s="1">
        <v>13.7</v>
      </c>
      <c r="J195" s="1">
        <v>210.0</v>
      </c>
      <c r="K195" s="1">
        <v>4300.0</v>
      </c>
      <c r="L195" s="1" t="s">
        <v>20</v>
      </c>
    </row>
    <row r="196" ht="14.25" customHeight="1">
      <c r="A196" s="1" t="s">
        <v>79</v>
      </c>
      <c r="B196" s="1">
        <v>44.0</v>
      </c>
      <c r="C196" s="1" t="s">
        <v>188</v>
      </c>
      <c r="D196" s="1" t="s">
        <v>44</v>
      </c>
      <c r="E196" s="1" t="s">
        <v>36</v>
      </c>
      <c r="F196" s="1" t="s">
        <v>16</v>
      </c>
      <c r="G196" s="1" t="s">
        <v>200</v>
      </c>
      <c r="H196" s="1">
        <v>49.6</v>
      </c>
      <c r="I196" s="1">
        <v>15.0</v>
      </c>
      <c r="J196" s="1">
        <v>216.0</v>
      </c>
      <c r="K196" s="1">
        <v>4750.0</v>
      </c>
      <c r="L196" s="1" t="s">
        <v>18</v>
      </c>
    </row>
    <row r="197" ht="14.25" customHeight="1">
      <c r="A197" s="1" t="s">
        <v>79</v>
      </c>
      <c r="B197" s="1">
        <v>45.0</v>
      </c>
      <c r="C197" s="1" t="s">
        <v>188</v>
      </c>
      <c r="D197" s="1" t="s">
        <v>44</v>
      </c>
      <c r="E197" s="1" t="s">
        <v>37</v>
      </c>
      <c r="F197" s="1" t="s">
        <v>16</v>
      </c>
      <c r="G197" s="1" t="s">
        <v>201</v>
      </c>
      <c r="H197" s="1">
        <v>50.5</v>
      </c>
      <c r="I197" s="1">
        <v>15.9</v>
      </c>
      <c r="J197" s="1">
        <v>222.0</v>
      </c>
      <c r="K197" s="1">
        <v>5550.0</v>
      </c>
      <c r="L197" s="1" t="s">
        <v>18</v>
      </c>
    </row>
    <row r="198" ht="14.25" customHeight="1">
      <c r="A198" s="1" t="s">
        <v>79</v>
      </c>
      <c r="B198" s="1">
        <v>46.0</v>
      </c>
      <c r="C198" s="1" t="s">
        <v>188</v>
      </c>
      <c r="D198" s="1" t="s">
        <v>44</v>
      </c>
      <c r="E198" s="1" t="s">
        <v>38</v>
      </c>
      <c r="F198" s="1" t="s">
        <v>16</v>
      </c>
      <c r="G198" s="1" t="s">
        <v>201</v>
      </c>
      <c r="H198" s="1">
        <v>43.6</v>
      </c>
      <c r="I198" s="1">
        <v>13.9</v>
      </c>
      <c r="J198" s="1">
        <v>217.0</v>
      </c>
      <c r="K198" s="1">
        <v>4900.0</v>
      </c>
      <c r="L198" s="1" t="s">
        <v>20</v>
      </c>
    </row>
    <row r="199" ht="14.25" customHeight="1">
      <c r="A199" s="1" t="s">
        <v>79</v>
      </c>
      <c r="B199" s="1">
        <v>47.0</v>
      </c>
      <c r="C199" s="1" t="s">
        <v>188</v>
      </c>
      <c r="D199" s="1" t="s">
        <v>44</v>
      </c>
      <c r="E199" s="1" t="s">
        <v>45</v>
      </c>
      <c r="F199" s="1" t="s">
        <v>26</v>
      </c>
      <c r="G199" s="1" t="s">
        <v>81</v>
      </c>
      <c r="H199" s="1">
        <v>45.5</v>
      </c>
      <c r="I199" s="1">
        <v>13.9</v>
      </c>
      <c r="J199" s="1">
        <v>210.0</v>
      </c>
      <c r="K199" s="1">
        <v>4200.0</v>
      </c>
      <c r="L199" s="1" t="s">
        <v>20</v>
      </c>
    </row>
    <row r="200" ht="14.25" customHeight="1">
      <c r="A200" s="1" t="s">
        <v>79</v>
      </c>
      <c r="B200" s="1">
        <v>48.0</v>
      </c>
      <c r="C200" s="1" t="s">
        <v>188</v>
      </c>
      <c r="D200" s="1" t="s">
        <v>44</v>
      </c>
      <c r="E200" s="1" t="s">
        <v>46</v>
      </c>
      <c r="F200" s="1" t="s">
        <v>26</v>
      </c>
      <c r="G200" s="1" t="s">
        <v>81</v>
      </c>
      <c r="H200" s="1">
        <v>50.5</v>
      </c>
      <c r="I200" s="1">
        <v>15.9</v>
      </c>
      <c r="J200" s="1">
        <v>225.0</v>
      </c>
      <c r="K200" s="1">
        <v>5400.0</v>
      </c>
      <c r="L200" s="1" t="s">
        <v>18</v>
      </c>
    </row>
    <row r="201" ht="14.25" customHeight="1">
      <c r="A201" s="1" t="s">
        <v>79</v>
      </c>
      <c r="B201" s="1">
        <v>49.0</v>
      </c>
      <c r="C201" s="1" t="s">
        <v>188</v>
      </c>
      <c r="D201" s="1" t="s">
        <v>44</v>
      </c>
      <c r="E201" s="1" t="s">
        <v>47</v>
      </c>
      <c r="F201" s="1" t="s">
        <v>16</v>
      </c>
      <c r="G201" s="1" t="s">
        <v>100</v>
      </c>
      <c r="H201" s="1">
        <v>44.9</v>
      </c>
      <c r="I201" s="1">
        <v>13.3</v>
      </c>
      <c r="J201" s="1">
        <v>213.0</v>
      </c>
      <c r="K201" s="1">
        <v>5100.0</v>
      </c>
      <c r="L201" s="1" t="s">
        <v>20</v>
      </c>
    </row>
    <row r="202" ht="14.25" customHeight="1">
      <c r="A202" s="1" t="s">
        <v>79</v>
      </c>
      <c r="B202" s="1">
        <v>50.0</v>
      </c>
      <c r="C202" s="1" t="s">
        <v>188</v>
      </c>
      <c r="D202" s="1" t="s">
        <v>44</v>
      </c>
      <c r="E202" s="1" t="s">
        <v>48</v>
      </c>
      <c r="F202" s="1" t="s">
        <v>16</v>
      </c>
      <c r="G202" s="1" t="s">
        <v>100</v>
      </c>
      <c r="H202" s="1">
        <v>45.2</v>
      </c>
      <c r="I202" s="1">
        <v>15.8</v>
      </c>
      <c r="J202" s="1">
        <v>215.0</v>
      </c>
      <c r="K202" s="1">
        <v>5300.0</v>
      </c>
      <c r="L202" s="1" t="s">
        <v>18</v>
      </c>
    </row>
    <row r="203" ht="14.25" customHeight="1">
      <c r="A203" s="1" t="s">
        <v>79</v>
      </c>
      <c r="B203" s="1">
        <v>51.0</v>
      </c>
      <c r="C203" s="1" t="s">
        <v>188</v>
      </c>
      <c r="D203" s="1" t="s">
        <v>44</v>
      </c>
      <c r="E203" s="1" t="s">
        <v>49</v>
      </c>
      <c r="F203" s="1" t="s">
        <v>16</v>
      </c>
      <c r="G203" s="1" t="s">
        <v>200</v>
      </c>
      <c r="H203" s="1">
        <v>46.6</v>
      </c>
      <c r="I203" s="1">
        <v>14.2</v>
      </c>
      <c r="J203" s="1">
        <v>210.0</v>
      </c>
      <c r="K203" s="1">
        <v>4850.0</v>
      </c>
      <c r="L203" s="1" t="s">
        <v>20</v>
      </c>
    </row>
    <row r="204" ht="14.25" customHeight="1">
      <c r="A204" s="1" t="s">
        <v>79</v>
      </c>
      <c r="B204" s="1">
        <v>52.0</v>
      </c>
      <c r="C204" s="1" t="s">
        <v>188</v>
      </c>
      <c r="D204" s="1" t="s">
        <v>44</v>
      </c>
      <c r="E204" s="1" t="s">
        <v>51</v>
      </c>
      <c r="F204" s="1" t="s">
        <v>16</v>
      </c>
      <c r="G204" s="1" t="s">
        <v>200</v>
      </c>
      <c r="H204" s="1">
        <v>48.5</v>
      </c>
      <c r="I204" s="1">
        <v>14.1</v>
      </c>
      <c r="J204" s="1">
        <v>220.0</v>
      </c>
      <c r="K204" s="1">
        <v>5300.0</v>
      </c>
      <c r="L204" s="1" t="s">
        <v>18</v>
      </c>
    </row>
    <row r="205" ht="14.25" customHeight="1">
      <c r="A205" s="1" t="s">
        <v>79</v>
      </c>
      <c r="B205" s="1">
        <v>53.0</v>
      </c>
      <c r="C205" s="1" t="s">
        <v>188</v>
      </c>
      <c r="D205" s="1" t="s">
        <v>44</v>
      </c>
      <c r="E205" s="1" t="s">
        <v>202</v>
      </c>
      <c r="F205" s="1" t="s">
        <v>16</v>
      </c>
      <c r="G205" s="1" t="s">
        <v>200</v>
      </c>
      <c r="H205" s="1">
        <v>45.1</v>
      </c>
      <c r="I205" s="1">
        <v>14.4</v>
      </c>
      <c r="J205" s="1">
        <v>210.0</v>
      </c>
      <c r="K205" s="1">
        <v>4400.0</v>
      </c>
      <c r="L205" s="1" t="s">
        <v>20</v>
      </c>
    </row>
    <row r="206" ht="14.25" customHeight="1">
      <c r="A206" s="1" t="s">
        <v>79</v>
      </c>
      <c r="B206" s="1">
        <v>54.0</v>
      </c>
      <c r="C206" s="1" t="s">
        <v>188</v>
      </c>
      <c r="D206" s="1" t="s">
        <v>44</v>
      </c>
      <c r="E206" s="1" t="s">
        <v>203</v>
      </c>
      <c r="F206" s="1" t="s">
        <v>16</v>
      </c>
      <c r="G206" s="1" t="s">
        <v>200</v>
      </c>
      <c r="H206" s="1">
        <v>50.1</v>
      </c>
      <c r="I206" s="1">
        <v>15.0</v>
      </c>
      <c r="J206" s="1">
        <v>225.0</v>
      </c>
      <c r="K206" s="1">
        <v>5000.0</v>
      </c>
      <c r="L206" s="1" t="s">
        <v>18</v>
      </c>
    </row>
    <row r="207" ht="14.25" customHeight="1">
      <c r="A207" s="1" t="s">
        <v>79</v>
      </c>
      <c r="B207" s="1">
        <v>55.0</v>
      </c>
      <c r="C207" s="1" t="s">
        <v>188</v>
      </c>
      <c r="D207" s="1" t="s">
        <v>44</v>
      </c>
      <c r="E207" s="1" t="s">
        <v>204</v>
      </c>
      <c r="F207" s="1" t="s">
        <v>16</v>
      </c>
      <c r="G207" s="1" t="s">
        <v>200</v>
      </c>
      <c r="H207" s="1">
        <v>46.5</v>
      </c>
      <c r="I207" s="1">
        <v>14.4</v>
      </c>
      <c r="J207" s="1">
        <v>217.0</v>
      </c>
      <c r="K207" s="1">
        <v>4900.0</v>
      </c>
      <c r="L207" s="1" t="s">
        <v>20</v>
      </c>
    </row>
    <row r="208" ht="14.25" customHeight="1">
      <c r="A208" s="1" t="s">
        <v>79</v>
      </c>
      <c r="B208" s="1">
        <v>56.0</v>
      </c>
      <c r="C208" s="1" t="s">
        <v>188</v>
      </c>
      <c r="D208" s="1" t="s">
        <v>44</v>
      </c>
      <c r="E208" s="1" t="s">
        <v>205</v>
      </c>
      <c r="F208" s="1" t="s">
        <v>16</v>
      </c>
      <c r="G208" s="1" t="s">
        <v>200</v>
      </c>
      <c r="H208" s="1">
        <v>45.0</v>
      </c>
      <c r="I208" s="1">
        <v>15.4</v>
      </c>
      <c r="J208" s="1">
        <v>220.0</v>
      </c>
      <c r="K208" s="1">
        <v>5050.0</v>
      </c>
      <c r="L208" s="1" t="s">
        <v>18</v>
      </c>
    </row>
    <row r="209" ht="14.25" customHeight="1">
      <c r="A209" s="1" t="s">
        <v>79</v>
      </c>
      <c r="B209" s="1">
        <v>57.0</v>
      </c>
      <c r="C209" s="1" t="s">
        <v>188</v>
      </c>
      <c r="D209" s="1" t="s">
        <v>44</v>
      </c>
      <c r="E209" s="1" t="s">
        <v>206</v>
      </c>
      <c r="F209" s="1" t="s">
        <v>16</v>
      </c>
      <c r="G209" s="1" t="s">
        <v>201</v>
      </c>
      <c r="H209" s="1">
        <v>43.8</v>
      </c>
      <c r="I209" s="1">
        <v>13.9</v>
      </c>
      <c r="J209" s="1">
        <v>208.0</v>
      </c>
      <c r="K209" s="1">
        <v>4300.0</v>
      </c>
      <c r="L209" s="1" t="s">
        <v>20</v>
      </c>
    </row>
    <row r="210" ht="14.25" customHeight="1">
      <c r="A210" s="1" t="s">
        <v>79</v>
      </c>
      <c r="B210" s="1">
        <v>58.0</v>
      </c>
      <c r="C210" s="1" t="s">
        <v>188</v>
      </c>
      <c r="D210" s="1" t="s">
        <v>44</v>
      </c>
      <c r="E210" s="1" t="s">
        <v>207</v>
      </c>
      <c r="F210" s="1" t="s">
        <v>16</v>
      </c>
      <c r="G210" s="1" t="s">
        <v>201</v>
      </c>
      <c r="H210" s="1">
        <v>45.5</v>
      </c>
      <c r="I210" s="1">
        <v>15.0</v>
      </c>
      <c r="J210" s="1">
        <v>220.0</v>
      </c>
      <c r="K210" s="1">
        <v>5000.0</v>
      </c>
      <c r="L210" s="1" t="s">
        <v>18</v>
      </c>
    </row>
    <row r="211" ht="14.25" customHeight="1">
      <c r="A211" s="1" t="s">
        <v>79</v>
      </c>
      <c r="B211" s="1">
        <v>59.0</v>
      </c>
      <c r="C211" s="1" t="s">
        <v>188</v>
      </c>
      <c r="D211" s="1" t="s">
        <v>44</v>
      </c>
      <c r="E211" s="1" t="s">
        <v>52</v>
      </c>
      <c r="F211" s="1" t="s">
        <v>16</v>
      </c>
      <c r="G211" s="1" t="s">
        <v>80</v>
      </c>
      <c r="H211" s="1">
        <v>43.2</v>
      </c>
      <c r="I211" s="1">
        <v>14.5</v>
      </c>
      <c r="J211" s="1">
        <v>208.0</v>
      </c>
      <c r="K211" s="1">
        <v>4450.0</v>
      </c>
      <c r="L211" s="1" t="s">
        <v>20</v>
      </c>
    </row>
    <row r="212" ht="14.25" customHeight="1">
      <c r="A212" s="1" t="s">
        <v>79</v>
      </c>
      <c r="B212" s="1">
        <v>60.0</v>
      </c>
      <c r="C212" s="1" t="s">
        <v>188</v>
      </c>
      <c r="D212" s="1" t="s">
        <v>44</v>
      </c>
      <c r="E212" s="1" t="s">
        <v>53</v>
      </c>
      <c r="F212" s="1" t="s">
        <v>16</v>
      </c>
      <c r="G212" s="1" t="s">
        <v>80</v>
      </c>
      <c r="H212" s="1">
        <v>50.4</v>
      </c>
      <c r="I212" s="1">
        <v>15.3</v>
      </c>
      <c r="J212" s="1">
        <v>224.0</v>
      </c>
      <c r="K212" s="1">
        <v>5550.0</v>
      </c>
      <c r="L212" s="1" t="s">
        <v>18</v>
      </c>
    </row>
    <row r="213" ht="14.25" customHeight="1">
      <c r="A213" s="1" t="s">
        <v>79</v>
      </c>
      <c r="B213" s="1">
        <v>61.0</v>
      </c>
      <c r="C213" s="1" t="s">
        <v>188</v>
      </c>
      <c r="D213" s="1" t="s">
        <v>44</v>
      </c>
      <c r="E213" s="1" t="s">
        <v>54</v>
      </c>
      <c r="F213" s="1" t="s">
        <v>16</v>
      </c>
      <c r="G213" s="1" t="s">
        <v>201</v>
      </c>
      <c r="H213" s="1">
        <v>45.3</v>
      </c>
      <c r="I213" s="1">
        <v>13.8</v>
      </c>
      <c r="J213" s="1">
        <v>208.0</v>
      </c>
      <c r="K213" s="1">
        <v>4200.0</v>
      </c>
      <c r="L213" s="1" t="s">
        <v>20</v>
      </c>
    </row>
    <row r="214" ht="14.25" customHeight="1">
      <c r="A214" s="1" t="s">
        <v>79</v>
      </c>
      <c r="B214" s="1">
        <v>62.0</v>
      </c>
      <c r="C214" s="1" t="s">
        <v>188</v>
      </c>
      <c r="D214" s="1" t="s">
        <v>44</v>
      </c>
      <c r="E214" s="1" t="s">
        <v>55</v>
      </c>
      <c r="F214" s="1" t="s">
        <v>16</v>
      </c>
      <c r="G214" s="1" t="s">
        <v>201</v>
      </c>
      <c r="H214" s="1">
        <v>46.2</v>
      </c>
      <c r="I214" s="1">
        <v>14.9</v>
      </c>
      <c r="J214" s="1">
        <v>221.0</v>
      </c>
      <c r="K214" s="1">
        <v>5300.0</v>
      </c>
      <c r="L214" s="1" t="s">
        <v>18</v>
      </c>
    </row>
    <row r="215" ht="14.25" customHeight="1">
      <c r="A215" s="1" t="s">
        <v>79</v>
      </c>
      <c r="B215" s="1">
        <v>63.0</v>
      </c>
      <c r="C215" s="1" t="s">
        <v>188</v>
      </c>
      <c r="D215" s="1" t="s">
        <v>44</v>
      </c>
      <c r="E215" s="1" t="s">
        <v>208</v>
      </c>
      <c r="F215" s="1" t="s">
        <v>16</v>
      </c>
      <c r="G215" s="1" t="s">
        <v>83</v>
      </c>
      <c r="H215" s="1">
        <v>45.7</v>
      </c>
      <c r="I215" s="1">
        <v>13.9</v>
      </c>
      <c r="J215" s="1">
        <v>214.0</v>
      </c>
      <c r="K215" s="1">
        <v>4400.0</v>
      </c>
      <c r="L215" s="1" t="s">
        <v>20</v>
      </c>
    </row>
    <row r="216" ht="14.25" customHeight="1">
      <c r="A216" s="1" t="s">
        <v>79</v>
      </c>
      <c r="B216" s="1">
        <v>64.0</v>
      </c>
      <c r="C216" s="1" t="s">
        <v>188</v>
      </c>
      <c r="D216" s="1" t="s">
        <v>44</v>
      </c>
      <c r="E216" s="1" t="s">
        <v>209</v>
      </c>
      <c r="F216" s="1" t="s">
        <v>16</v>
      </c>
      <c r="G216" s="1" t="s">
        <v>83</v>
      </c>
      <c r="H216" s="1">
        <v>54.3</v>
      </c>
      <c r="I216" s="1">
        <v>15.7</v>
      </c>
      <c r="J216" s="1">
        <v>231.0</v>
      </c>
      <c r="K216" s="1">
        <v>5650.0</v>
      </c>
      <c r="L216" s="1" t="s">
        <v>18</v>
      </c>
    </row>
    <row r="217" ht="14.25" customHeight="1">
      <c r="A217" s="1" t="s">
        <v>79</v>
      </c>
      <c r="B217" s="1">
        <v>65.0</v>
      </c>
      <c r="C217" s="1" t="s">
        <v>188</v>
      </c>
      <c r="D217" s="1" t="s">
        <v>44</v>
      </c>
      <c r="E217" s="1" t="s">
        <v>210</v>
      </c>
      <c r="F217" s="1" t="s">
        <v>16</v>
      </c>
      <c r="G217" s="1" t="s">
        <v>200</v>
      </c>
      <c r="H217" s="1">
        <v>45.8</v>
      </c>
      <c r="I217" s="1">
        <v>14.2</v>
      </c>
      <c r="J217" s="1">
        <v>219.0</v>
      </c>
      <c r="K217" s="1">
        <v>4700.0</v>
      </c>
      <c r="L217" s="1" t="s">
        <v>20</v>
      </c>
    </row>
    <row r="218" ht="14.25" customHeight="1">
      <c r="A218" s="1" t="s">
        <v>79</v>
      </c>
      <c r="B218" s="1">
        <v>66.0</v>
      </c>
      <c r="C218" s="1" t="s">
        <v>188</v>
      </c>
      <c r="D218" s="1" t="s">
        <v>44</v>
      </c>
      <c r="E218" s="1" t="s">
        <v>211</v>
      </c>
      <c r="F218" s="1" t="s">
        <v>16</v>
      </c>
      <c r="G218" s="1" t="s">
        <v>200</v>
      </c>
      <c r="H218" s="1">
        <v>49.8</v>
      </c>
      <c r="I218" s="1">
        <v>16.8</v>
      </c>
      <c r="J218" s="1">
        <v>230.0</v>
      </c>
      <c r="K218" s="1">
        <v>5700.0</v>
      </c>
      <c r="L218" s="1" t="s">
        <v>18</v>
      </c>
    </row>
    <row r="219" ht="14.25" customHeight="1">
      <c r="A219" s="1" t="s">
        <v>79</v>
      </c>
      <c r="B219" s="1">
        <v>67.0</v>
      </c>
      <c r="C219" s="1" t="s">
        <v>188</v>
      </c>
      <c r="D219" s="1" t="s">
        <v>44</v>
      </c>
      <c r="E219" s="1" t="s">
        <v>129</v>
      </c>
      <c r="F219" s="1" t="s">
        <v>16</v>
      </c>
      <c r="G219" s="1" t="s">
        <v>81</v>
      </c>
      <c r="H219" s="1">
        <v>46.2</v>
      </c>
      <c r="I219" s="1">
        <v>14.4</v>
      </c>
      <c r="J219" s="1">
        <v>214.0</v>
      </c>
      <c r="K219" s="1">
        <v>4650.0</v>
      </c>
      <c r="L219" s="1" t="s">
        <v>31</v>
      </c>
    </row>
    <row r="220" ht="14.25" customHeight="1">
      <c r="A220" s="1" t="s">
        <v>79</v>
      </c>
      <c r="B220" s="1">
        <v>68.0</v>
      </c>
      <c r="C220" s="1" t="s">
        <v>188</v>
      </c>
      <c r="D220" s="1" t="s">
        <v>44</v>
      </c>
      <c r="E220" s="1" t="s">
        <v>130</v>
      </c>
      <c r="F220" s="1" t="s">
        <v>16</v>
      </c>
      <c r="G220" s="1" t="s">
        <v>81</v>
      </c>
      <c r="H220" s="1">
        <v>49.5</v>
      </c>
      <c r="I220" s="1">
        <v>16.2</v>
      </c>
      <c r="J220" s="1">
        <v>229.0</v>
      </c>
      <c r="K220" s="1">
        <v>5800.0</v>
      </c>
      <c r="L220" s="1" t="s">
        <v>18</v>
      </c>
    </row>
    <row r="221" ht="14.25" customHeight="1">
      <c r="A221" s="1" t="s">
        <v>79</v>
      </c>
      <c r="B221" s="1">
        <v>69.0</v>
      </c>
      <c r="C221" s="1" t="s">
        <v>188</v>
      </c>
      <c r="D221" s="1" t="s">
        <v>44</v>
      </c>
      <c r="E221" s="1" t="s">
        <v>131</v>
      </c>
      <c r="F221" s="1" t="s">
        <v>16</v>
      </c>
      <c r="G221" s="1" t="s">
        <v>83</v>
      </c>
      <c r="H221" s="1">
        <v>43.5</v>
      </c>
      <c r="I221" s="1">
        <v>14.2</v>
      </c>
      <c r="J221" s="1">
        <v>220.0</v>
      </c>
      <c r="K221" s="1">
        <v>4700.0</v>
      </c>
      <c r="L221" s="1" t="s">
        <v>20</v>
      </c>
    </row>
    <row r="222" ht="14.25" customHeight="1">
      <c r="A222" s="1" t="s">
        <v>79</v>
      </c>
      <c r="B222" s="1">
        <v>70.0</v>
      </c>
      <c r="C222" s="1" t="s">
        <v>188</v>
      </c>
      <c r="D222" s="1" t="s">
        <v>44</v>
      </c>
      <c r="E222" s="1" t="s">
        <v>132</v>
      </c>
      <c r="F222" s="1" t="s">
        <v>16</v>
      </c>
      <c r="G222" s="1" t="s">
        <v>83</v>
      </c>
      <c r="H222" s="1">
        <v>50.7</v>
      </c>
      <c r="I222" s="1">
        <v>15.0</v>
      </c>
      <c r="J222" s="1">
        <v>223.0</v>
      </c>
      <c r="K222" s="1">
        <v>5550.0</v>
      </c>
      <c r="L222" s="1" t="s">
        <v>18</v>
      </c>
    </row>
    <row r="223" ht="14.25" customHeight="1">
      <c r="A223" s="1" t="s">
        <v>79</v>
      </c>
      <c r="B223" s="1">
        <v>71.0</v>
      </c>
      <c r="C223" s="1" t="s">
        <v>188</v>
      </c>
      <c r="D223" s="1" t="s">
        <v>44</v>
      </c>
      <c r="E223" s="1" t="s">
        <v>212</v>
      </c>
      <c r="F223" s="1" t="s">
        <v>16</v>
      </c>
      <c r="G223" s="1" t="s">
        <v>201</v>
      </c>
      <c r="H223" s="1">
        <v>47.7</v>
      </c>
      <c r="I223" s="1">
        <v>15.0</v>
      </c>
      <c r="J223" s="1">
        <v>216.0</v>
      </c>
      <c r="K223" s="1">
        <v>4750.0</v>
      </c>
      <c r="L223" s="1" t="s">
        <v>20</v>
      </c>
    </row>
    <row r="224" ht="14.25" customHeight="1">
      <c r="A224" s="1" t="s">
        <v>79</v>
      </c>
      <c r="B224" s="1">
        <v>72.0</v>
      </c>
      <c r="C224" s="1" t="s">
        <v>188</v>
      </c>
      <c r="D224" s="1" t="s">
        <v>44</v>
      </c>
      <c r="E224" s="1" t="s">
        <v>213</v>
      </c>
      <c r="F224" s="1" t="s">
        <v>16</v>
      </c>
      <c r="G224" s="1" t="s">
        <v>201</v>
      </c>
      <c r="H224" s="1">
        <v>46.4</v>
      </c>
      <c r="I224" s="1">
        <v>15.6</v>
      </c>
      <c r="J224" s="1">
        <v>221.0</v>
      </c>
      <c r="K224" s="1">
        <v>5000.0</v>
      </c>
      <c r="L224" s="1" t="s">
        <v>18</v>
      </c>
    </row>
    <row r="225" ht="14.25" customHeight="1">
      <c r="A225" s="1" t="s">
        <v>79</v>
      </c>
      <c r="B225" s="1">
        <v>73.0</v>
      </c>
      <c r="C225" s="1" t="s">
        <v>188</v>
      </c>
      <c r="D225" s="1" t="s">
        <v>44</v>
      </c>
      <c r="E225" s="1" t="s">
        <v>133</v>
      </c>
      <c r="F225" s="1" t="s">
        <v>16</v>
      </c>
      <c r="G225" s="1" t="s">
        <v>81</v>
      </c>
      <c r="H225" s="1">
        <v>48.2</v>
      </c>
      <c r="I225" s="1">
        <v>15.6</v>
      </c>
      <c r="J225" s="1">
        <v>221.0</v>
      </c>
      <c r="K225" s="1">
        <v>5100.0</v>
      </c>
      <c r="L225" s="1" t="s">
        <v>18</v>
      </c>
    </row>
    <row r="226" ht="14.25" customHeight="1">
      <c r="A226" s="1" t="s">
        <v>79</v>
      </c>
      <c r="B226" s="1">
        <v>74.0</v>
      </c>
      <c r="C226" s="1" t="s">
        <v>188</v>
      </c>
      <c r="D226" s="1" t="s">
        <v>44</v>
      </c>
      <c r="E226" s="1" t="s">
        <v>135</v>
      </c>
      <c r="F226" s="1" t="s">
        <v>16</v>
      </c>
      <c r="G226" s="1" t="s">
        <v>81</v>
      </c>
      <c r="H226" s="1">
        <v>46.5</v>
      </c>
      <c r="I226" s="1">
        <v>14.8</v>
      </c>
      <c r="J226" s="1">
        <v>217.0</v>
      </c>
      <c r="K226" s="1">
        <v>5200.0</v>
      </c>
      <c r="L226" s="1" t="s">
        <v>20</v>
      </c>
    </row>
    <row r="227" ht="14.25" customHeight="1">
      <c r="A227" s="1" t="s">
        <v>79</v>
      </c>
      <c r="B227" s="1">
        <v>75.0</v>
      </c>
      <c r="C227" s="1" t="s">
        <v>188</v>
      </c>
      <c r="D227" s="1" t="s">
        <v>44</v>
      </c>
      <c r="E227" s="1" t="s">
        <v>197</v>
      </c>
      <c r="F227" s="1" t="s">
        <v>16</v>
      </c>
      <c r="G227" s="1" t="s">
        <v>80</v>
      </c>
      <c r="H227" s="1">
        <v>46.4</v>
      </c>
      <c r="I227" s="1">
        <v>15.0</v>
      </c>
      <c r="J227" s="1">
        <v>216.0</v>
      </c>
      <c r="K227" s="1">
        <v>4700.0</v>
      </c>
      <c r="L227" s="1" t="s">
        <v>20</v>
      </c>
    </row>
    <row r="228" ht="14.25" customHeight="1">
      <c r="A228" s="1" t="s">
        <v>79</v>
      </c>
      <c r="B228" s="1">
        <v>76.0</v>
      </c>
      <c r="C228" s="1" t="s">
        <v>188</v>
      </c>
      <c r="D228" s="1" t="s">
        <v>44</v>
      </c>
      <c r="E228" s="1" t="s">
        <v>198</v>
      </c>
      <c r="F228" s="1" t="s">
        <v>16</v>
      </c>
      <c r="G228" s="1" t="s">
        <v>80</v>
      </c>
      <c r="H228" s="1">
        <v>48.6</v>
      </c>
      <c r="I228" s="1">
        <v>16.0</v>
      </c>
      <c r="J228" s="1">
        <v>230.0</v>
      </c>
      <c r="K228" s="1">
        <v>5800.0</v>
      </c>
      <c r="L228" s="1" t="s">
        <v>18</v>
      </c>
    </row>
    <row r="229" ht="14.25" customHeight="1">
      <c r="A229" s="1" t="s">
        <v>79</v>
      </c>
      <c r="B229" s="1">
        <v>77.0</v>
      </c>
      <c r="C229" s="1" t="s">
        <v>188</v>
      </c>
      <c r="D229" s="1" t="s">
        <v>44</v>
      </c>
      <c r="E229" s="1" t="s">
        <v>136</v>
      </c>
      <c r="F229" s="1" t="s">
        <v>16</v>
      </c>
      <c r="G229" s="1" t="s">
        <v>80</v>
      </c>
      <c r="H229" s="1">
        <v>47.5</v>
      </c>
      <c r="I229" s="1">
        <v>14.2</v>
      </c>
      <c r="J229" s="1">
        <v>209.0</v>
      </c>
      <c r="K229" s="1">
        <v>4600.0</v>
      </c>
      <c r="L229" s="1" t="s">
        <v>20</v>
      </c>
    </row>
    <row r="230" ht="14.25" customHeight="1">
      <c r="A230" s="1" t="s">
        <v>79</v>
      </c>
      <c r="B230" s="1">
        <v>78.0</v>
      </c>
      <c r="C230" s="1" t="s">
        <v>188</v>
      </c>
      <c r="D230" s="1" t="s">
        <v>44</v>
      </c>
      <c r="E230" s="1" t="s">
        <v>138</v>
      </c>
      <c r="F230" s="1" t="s">
        <v>16</v>
      </c>
      <c r="G230" s="1" t="s">
        <v>80</v>
      </c>
      <c r="H230" s="1">
        <v>51.1</v>
      </c>
      <c r="I230" s="1">
        <v>16.3</v>
      </c>
      <c r="J230" s="1">
        <v>220.0</v>
      </c>
      <c r="K230" s="1">
        <v>6000.0</v>
      </c>
      <c r="L230" s="1" t="s">
        <v>18</v>
      </c>
    </row>
    <row r="231" ht="14.25" customHeight="1">
      <c r="A231" s="1" t="s">
        <v>79</v>
      </c>
      <c r="B231" s="1">
        <v>79.0</v>
      </c>
      <c r="C231" s="1" t="s">
        <v>188</v>
      </c>
      <c r="D231" s="1" t="s">
        <v>44</v>
      </c>
      <c r="E231" s="1" t="s">
        <v>139</v>
      </c>
      <c r="F231" s="1" t="s">
        <v>16</v>
      </c>
      <c r="G231" s="1" t="s">
        <v>81</v>
      </c>
      <c r="H231" s="1">
        <v>45.2</v>
      </c>
      <c r="I231" s="1">
        <v>13.8</v>
      </c>
      <c r="J231" s="1">
        <v>215.0</v>
      </c>
      <c r="K231" s="1">
        <v>4750.0</v>
      </c>
      <c r="L231" s="1" t="s">
        <v>20</v>
      </c>
    </row>
    <row r="232" ht="14.25" customHeight="1">
      <c r="A232" s="1" t="s">
        <v>79</v>
      </c>
      <c r="B232" s="1">
        <v>80.0</v>
      </c>
      <c r="C232" s="1" t="s">
        <v>188</v>
      </c>
      <c r="D232" s="1" t="s">
        <v>44</v>
      </c>
      <c r="E232" s="1" t="s">
        <v>140</v>
      </c>
      <c r="F232" s="1" t="s">
        <v>16</v>
      </c>
      <c r="G232" s="1" t="s">
        <v>81</v>
      </c>
      <c r="H232" s="1">
        <v>45.2</v>
      </c>
      <c r="I232" s="1">
        <v>16.4</v>
      </c>
      <c r="J232" s="1">
        <v>223.0</v>
      </c>
      <c r="K232" s="1">
        <v>5950.0</v>
      </c>
      <c r="L232" s="1" t="s">
        <v>18</v>
      </c>
    </row>
    <row r="233" ht="14.25" customHeight="1">
      <c r="A233" s="1" t="s">
        <v>124</v>
      </c>
      <c r="B233" s="1">
        <v>81.0</v>
      </c>
      <c r="C233" s="1" t="s">
        <v>188</v>
      </c>
      <c r="D233" s="1" t="s">
        <v>44</v>
      </c>
      <c r="E233" s="1" t="s">
        <v>15</v>
      </c>
      <c r="F233" s="1" t="s">
        <v>16</v>
      </c>
      <c r="G233" s="1" t="s">
        <v>145</v>
      </c>
      <c r="H233" s="1">
        <v>49.1</v>
      </c>
      <c r="I233" s="1">
        <v>14.5</v>
      </c>
      <c r="J233" s="1">
        <v>212.0</v>
      </c>
      <c r="K233" s="1">
        <v>4625.0</v>
      </c>
      <c r="L233" s="1" t="s">
        <v>20</v>
      </c>
    </row>
    <row r="234" ht="14.25" customHeight="1">
      <c r="A234" s="1" t="s">
        <v>124</v>
      </c>
      <c r="B234" s="1">
        <v>82.0</v>
      </c>
      <c r="C234" s="1" t="s">
        <v>188</v>
      </c>
      <c r="D234" s="1" t="s">
        <v>44</v>
      </c>
      <c r="E234" s="1" t="s">
        <v>19</v>
      </c>
      <c r="F234" s="1" t="s">
        <v>16</v>
      </c>
      <c r="G234" s="1" t="s">
        <v>145</v>
      </c>
      <c r="H234" s="1">
        <v>52.5</v>
      </c>
      <c r="I234" s="1">
        <v>15.6</v>
      </c>
      <c r="J234" s="1">
        <v>221.0</v>
      </c>
      <c r="K234" s="1">
        <v>5450.0</v>
      </c>
      <c r="L234" s="1" t="s">
        <v>18</v>
      </c>
    </row>
    <row r="235" ht="14.25" customHeight="1">
      <c r="A235" s="1" t="s">
        <v>124</v>
      </c>
      <c r="B235" s="1">
        <v>83.0</v>
      </c>
      <c r="C235" s="1" t="s">
        <v>188</v>
      </c>
      <c r="D235" s="1" t="s">
        <v>44</v>
      </c>
      <c r="E235" s="1" t="s">
        <v>33</v>
      </c>
      <c r="F235" s="1" t="s">
        <v>16</v>
      </c>
      <c r="G235" s="1" t="s">
        <v>128</v>
      </c>
      <c r="H235" s="1">
        <v>47.4</v>
      </c>
      <c r="I235" s="1">
        <v>14.6</v>
      </c>
      <c r="J235" s="1">
        <v>212.0</v>
      </c>
      <c r="K235" s="1">
        <v>4725.0</v>
      </c>
      <c r="L235" s="1" t="s">
        <v>20</v>
      </c>
    </row>
    <row r="236" ht="14.25" customHeight="1">
      <c r="A236" s="1" t="s">
        <v>124</v>
      </c>
      <c r="B236" s="1">
        <v>84.0</v>
      </c>
      <c r="C236" s="1" t="s">
        <v>188</v>
      </c>
      <c r="D236" s="1" t="s">
        <v>44</v>
      </c>
      <c r="E236" s="1" t="s">
        <v>34</v>
      </c>
      <c r="F236" s="1" t="s">
        <v>16</v>
      </c>
      <c r="G236" s="1" t="s">
        <v>128</v>
      </c>
      <c r="H236" s="1">
        <v>50.0</v>
      </c>
      <c r="I236" s="1">
        <v>15.9</v>
      </c>
      <c r="J236" s="1">
        <v>224.0</v>
      </c>
      <c r="K236" s="1">
        <v>5350.0</v>
      </c>
      <c r="L236" s="1" t="s">
        <v>18</v>
      </c>
    </row>
    <row r="237" ht="14.25" customHeight="1">
      <c r="A237" s="1" t="s">
        <v>124</v>
      </c>
      <c r="B237" s="1">
        <v>85.0</v>
      </c>
      <c r="C237" s="1" t="s">
        <v>188</v>
      </c>
      <c r="D237" s="1" t="s">
        <v>44</v>
      </c>
      <c r="E237" s="1" t="s">
        <v>37</v>
      </c>
      <c r="F237" s="1" t="s">
        <v>16</v>
      </c>
      <c r="G237" s="1" t="s">
        <v>148</v>
      </c>
      <c r="H237" s="1">
        <v>44.9</v>
      </c>
      <c r="I237" s="1">
        <v>13.8</v>
      </c>
      <c r="J237" s="1">
        <v>212.0</v>
      </c>
      <c r="K237" s="1">
        <v>4750.0</v>
      </c>
      <c r="L237" s="1" t="s">
        <v>20</v>
      </c>
    </row>
    <row r="238" ht="14.25" customHeight="1">
      <c r="A238" s="1" t="s">
        <v>124</v>
      </c>
      <c r="B238" s="1">
        <v>86.0</v>
      </c>
      <c r="C238" s="1" t="s">
        <v>188</v>
      </c>
      <c r="D238" s="1" t="s">
        <v>44</v>
      </c>
      <c r="E238" s="1" t="s">
        <v>38</v>
      </c>
      <c r="F238" s="1" t="s">
        <v>16</v>
      </c>
      <c r="G238" s="1" t="s">
        <v>148</v>
      </c>
      <c r="H238" s="1">
        <v>50.8</v>
      </c>
      <c r="I238" s="1">
        <v>17.3</v>
      </c>
      <c r="J238" s="1">
        <v>228.0</v>
      </c>
      <c r="K238" s="1">
        <v>5600.0</v>
      </c>
      <c r="L238" s="1" t="s">
        <v>18</v>
      </c>
    </row>
    <row r="239" ht="14.25" customHeight="1">
      <c r="A239" s="1" t="s">
        <v>124</v>
      </c>
      <c r="B239" s="1">
        <v>87.0</v>
      </c>
      <c r="C239" s="1" t="s">
        <v>188</v>
      </c>
      <c r="D239" s="1" t="s">
        <v>44</v>
      </c>
      <c r="E239" s="1" t="s">
        <v>49</v>
      </c>
      <c r="F239" s="1" t="s">
        <v>16</v>
      </c>
      <c r="G239" s="1" t="s">
        <v>134</v>
      </c>
      <c r="H239" s="1">
        <v>43.4</v>
      </c>
      <c r="I239" s="1">
        <v>14.4</v>
      </c>
      <c r="J239" s="1">
        <v>218.0</v>
      </c>
      <c r="K239" s="1">
        <v>4600.0</v>
      </c>
      <c r="L239" s="1" t="s">
        <v>20</v>
      </c>
    </row>
    <row r="240" ht="14.25" customHeight="1">
      <c r="A240" s="1" t="s">
        <v>124</v>
      </c>
      <c r="B240" s="1">
        <v>88.0</v>
      </c>
      <c r="C240" s="1" t="s">
        <v>188</v>
      </c>
      <c r="D240" s="1" t="s">
        <v>44</v>
      </c>
      <c r="E240" s="1" t="s">
        <v>51</v>
      </c>
      <c r="F240" s="1" t="s">
        <v>16</v>
      </c>
      <c r="G240" s="1" t="s">
        <v>134</v>
      </c>
      <c r="H240" s="1">
        <v>51.3</v>
      </c>
      <c r="I240" s="1">
        <v>14.2</v>
      </c>
      <c r="J240" s="1">
        <v>218.0</v>
      </c>
      <c r="K240" s="1">
        <v>5300.0</v>
      </c>
      <c r="L240" s="1" t="s">
        <v>18</v>
      </c>
    </row>
    <row r="241" ht="14.25" customHeight="1">
      <c r="A241" s="1" t="s">
        <v>124</v>
      </c>
      <c r="B241" s="1">
        <v>89.0</v>
      </c>
      <c r="C241" s="1" t="s">
        <v>188</v>
      </c>
      <c r="D241" s="1" t="s">
        <v>44</v>
      </c>
      <c r="E241" s="1" t="s">
        <v>202</v>
      </c>
      <c r="F241" s="1" t="s">
        <v>16</v>
      </c>
      <c r="G241" s="1" t="s">
        <v>214</v>
      </c>
      <c r="H241" s="1">
        <v>47.5</v>
      </c>
      <c r="I241" s="1">
        <v>14.0</v>
      </c>
      <c r="J241" s="1">
        <v>212.0</v>
      </c>
      <c r="K241" s="1">
        <v>4875.0</v>
      </c>
      <c r="L241" s="1" t="s">
        <v>20</v>
      </c>
    </row>
    <row r="242" ht="14.25" customHeight="1">
      <c r="A242" s="1" t="s">
        <v>124</v>
      </c>
      <c r="B242" s="1">
        <v>90.0</v>
      </c>
      <c r="C242" s="1" t="s">
        <v>188</v>
      </c>
      <c r="D242" s="1" t="s">
        <v>44</v>
      </c>
      <c r="E242" s="1" t="s">
        <v>203</v>
      </c>
      <c r="F242" s="1" t="s">
        <v>16</v>
      </c>
      <c r="G242" s="1" t="s">
        <v>214</v>
      </c>
      <c r="H242" s="1">
        <v>52.1</v>
      </c>
      <c r="I242" s="1">
        <v>17.0</v>
      </c>
      <c r="J242" s="1">
        <v>230.0</v>
      </c>
      <c r="K242" s="1">
        <v>5550.0</v>
      </c>
      <c r="L242" s="1" t="s">
        <v>18</v>
      </c>
    </row>
    <row r="243" ht="14.25" customHeight="1">
      <c r="A243" s="1" t="s">
        <v>124</v>
      </c>
      <c r="B243" s="1">
        <v>91.0</v>
      </c>
      <c r="C243" s="1" t="s">
        <v>188</v>
      </c>
      <c r="D243" s="1" t="s">
        <v>44</v>
      </c>
      <c r="E243" s="1" t="s">
        <v>204</v>
      </c>
      <c r="F243" s="1" t="s">
        <v>16</v>
      </c>
      <c r="G243" s="1" t="s">
        <v>214</v>
      </c>
      <c r="H243" s="1">
        <v>47.5</v>
      </c>
      <c r="I243" s="1">
        <v>15.0</v>
      </c>
      <c r="J243" s="1">
        <v>218.0</v>
      </c>
      <c r="K243" s="1">
        <v>4950.0</v>
      </c>
      <c r="L243" s="1" t="s">
        <v>20</v>
      </c>
    </row>
    <row r="244" ht="14.25" customHeight="1">
      <c r="A244" s="1" t="s">
        <v>124</v>
      </c>
      <c r="B244" s="1">
        <v>92.0</v>
      </c>
      <c r="C244" s="1" t="s">
        <v>188</v>
      </c>
      <c r="D244" s="1" t="s">
        <v>44</v>
      </c>
      <c r="E244" s="1" t="s">
        <v>205</v>
      </c>
      <c r="F244" s="1" t="s">
        <v>16</v>
      </c>
      <c r="G244" s="1" t="s">
        <v>214</v>
      </c>
      <c r="H244" s="1">
        <v>52.2</v>
      </c>
      <c r="I244" s="1">
        <v>17.1</v>
      </c>
      <c r="J244" s="1">
        <v>228.0</v>
      </c>
      <c r="K244" s="1">
        <v>5400.0</v>
      </c>
      <c r="L244" s="1" t="s">
        <v>18</v>
      </c>
    </row>
    <row r="245" ht="14.25" customHeight="1">
      <c r="A245" s="1" t="s">
        <v>124</v>
      </c>
      <c r="B245" s="1">
        <v>93.0</v>
      </c>
      <c r="C245" s="1" t="s">
        <v>188</v>
      </c>
      <c r="D245" s="1" t="s">
        <v>44</v>
      </c>
      <c r="E245" s="1" t="s">
        <v>54</v>
      </c>
      <c r="F245" s="1" t="s">
        <v>16</v>
      </c>
      <c r="G245" s="1" t="s">
        <v>215</v>
      </c>
      <c r="H245" s="1">
        <v>45.5</v>
      </c>
      <c r="I245" s="1">
        <v>14.5</v>
      </c>
      <c r="J245" s="1">
        <v>212.0</v>
      </c>
      <c r="K245" s="1">
        <v>4750.0</v>
      </c>
      <c r="L245" s="1" t="s">
        <v>20</v>
      </c>
    </row>
    <row r="246" ht="14.25" customHeight="1">
      <c r="A246" s="1" t="s">
        <v>124</v>
      </c>
      <c r="B246" s="1">
        <v>94.0</v>
      </c>
      <c r="C246" s="1" t="s">
        <v>188</v>
      </c>
      <c r="D246" s="1" t="s">
        <v>44</v>
      </c>
      <c r="E246" s="1" t="s">
        <v>55</v>
      </c>
      <c r="F246" s="1" t="s">
        <v>16</v>
      </c>
      <c r="G246" s="1" t="s">
        <v>215</v>
      </c>
      <c r="H246" s="1">
        <v>49.5</v>
      </c>
      <c r="I246" s="1">
        <v>16.1</v>
      </c>
      <c r="J246" s="1">
        <v>224.0</v>
      </c>
      <c r="K246" s="1">
        <v>5650.0</v>
      </c>
      <c r="L246" s="1" t="s">
        <v>18</v>
      </c>
    </row>
    <row r="247" ht="14.25" customHeight="1">
      <c r="A247" s="1" t="s">
        <v>124</v>
      </c>
      <c r="B247" s="1">
        <v>95.0</v>
      </c>
      <c r="C247" s="1" t="s">
        <v>188</v>
      </c>
      <c r="D247" s="1" t="s">
        <v>44</v>
      </c>
      <c r="E247" s="1" t="s">
        <v>208</v>
      </c>
      <c r="F247" s="1" t="s">
        <v>16</v>
      </c>
      <c r="G247" s="1" t="s">
        <v>216</v>
      </c>
      <c r="H247" s="1">
        <v>44.5</v>
      </c>
      <c r="I247" s="1">
        <v>14.7</v>
      </c>
      <c r="J247" s="1">
        <v>214.0</v>
      </c>
      <c r="K247" s="1">
        <v>4850.0</v>
      </c>
      <c r="L247" s="1" t="s">
        <v>20</v>
      </c>
    </row>
    <row r="248" ht="14.25" customHeight="1">
      <c r="A248" s="1" t="s">
        <v>124</v>
      </c>
      <c r="B248" s="1">
        <v>96.0</v>
      </c>
      <c r="C248" s="1" t="s">
        <v>188</v>
      </c>
      <c r="D248" s="1" t="s">
        <v>44</v>
      </c>
      <c r="E248" s="1" t="s">
        <v>209</v>
      </c>
      <c r="F248" s="1" t="s">
        <v>16</v>
      </c>
      <c r="G248" s="1" t="s">
        <v>216</v>
      </c>
      <c r="H248" s="1">
        <v>50.8</v>
      </c>
      <c r="I248" s="1">
        <v>15.7</v>
      </c>
      <c r="J248" s="1">
        <v>226.0</v>
      </c>
      <c r="K248" s="1">
        <v>5200.0</v>
      </c>
      <c r="L248" s="1" t="s">
        <v>18</v>
      </c>
    </row>
    <row r="249" ht="14.25" customHeight="1">
      <c r="A249" s="1" t="s">
        <v>124</v>
      </c>
      <c r="B249" s="1">
        <v>97.0</v>
      </c>
      <c r="C249" s="1" t="s">
        <v>188</v>
      </c>
      <c r="D249" s="1" t="s">
        <v>44</v>
      </c>
      <c r="E249" s="1" t="s">
        <v>210</v>
      </c>
      <c r="F249" s="1" t="s">
        <v>16</v>
      </c>
      <c r="G249" s="1" t="s">
        <v>145</v>
      </c>
      <c r="H249" s="1">
        <v>49.4</v>
      </c>
      <c r="I249" s="1">
        <v>15.8</v>
      </c>
      <c r="J249" s="1">
        <v>216.0</v>
      </c>
      <c r="K249" s="1">
        <v>4925.0</v>
      </c>
      <c r="L249" s="1" t="s">
        <v>18</v>
      </c>
    </row>
    <row r="250" ht="14.25" customHeight="1">
      <c r="A250" s="1" t="s">
        <v>124</v>
      </c>
      <c r="B250" s="1">
        <v>98.0</v>
      </c>
      <c r="C250" s="1" t="s">
        <v>188</v>
      </c>
      <c r="D250" s="1" t="s">
        <v>44</v>
      </c>
      <c r="E250" s="1" t="s">
        <v>211</v>
      </c>
      <c r="F250" s="1" t="s">
        <v>16</v>
      </c>
      <c r="G250" s="1" t="s">
        <v>145</v>
      </c>
      <c r="H250" s="1">
        <v>46.9</v>
      </c>
      <c r="I250" s="1">
        <v>14.6</v>
      </c>
      <c r="J250" s="1">
        <v>222.0</v>
      </c>
      <c r="K250" s="1">
        <v>4875.0</v>
      </c>
      <c r="L250" s="1" t="s">
        <v>20</v>
      </c>
    </row>
    <row r="251" ht="14.25" customHeight="1">
      <c r="A251" s="1" t="s">
        <v>124</v>
      </c>
      <c r="B251" s="1">
        <v>99.0</v>
      </c>
      <c r="C251" s="1" t="s">
        <v>188</v>
      </c>
      <c r="D251" s="1" t="s">
        <v>44</v>
      </c>
      <c r="E251" s="1" t="s">
        <v>57</v>
      </c>
      <c r="F251" s="1" t="s">
        <v>16</v>
      </c>
      <c r="G251" s="1" t="s">
        <v>145</v>
      </c>
      <c r="H251" s="1">
        <v>48.4</v>
      </c>
      <c r="I251" s="1">
        <v>14.4</v>
      </c>
      <c r="J251" s="1">
        <v>203.0</v>
      </c>
      <c r="K251" s="1">
        <v>4625.0</v>
      </c>
      <c r="L251" s="1" t="s">
        <v>20</v>
      </c>
    </row>
    <row r="252" ht="14.25" customHeight="1">
      <c r="A252" s="1" t="s">
        <v>124</v>
      </c>
      <c r="B252" s="1">
        <v>100.0</v>
      </c>
      <c r="C252" s="1" t="s">
        <v>188</v>
      </c>
      <c r="D252" s="1" t="s">
        <v>44</v>
      </c>
      <c r="E252" s="1" t="s">
        <v>58</v>
      </c>
      <c r="F252" s="1" t="s">
        <v>16</v>
      </c>
      <c r="G252" s="1" t="s">
        <v>145</v>
      </c>
      <c r="H252" s="1">
        <v>51.1</v>
      </c>
      <c r="I252" s="1">
        <v>16.5</v>
      </c>
      <c r="J252" s="1">
        <v>225.0</v>
      </c>
      <c r="K252" s="1">
        <v>5250.0</v>
      </c>
      <c r="L252" s="1" t="s">
        <v>18</v>
      </c>
    </row>
    <row r="253" ht="14.25" customHeight="1">
      <c r="A253" s="1" t="s">
        <v>124</v>
      </c>
      <c r="B253" s="1">
        <v>101.0</v>
      </c>
      <c r="C253" s="1" t="s">
        <v>188</v>
      </c>
      <c r="D253" s="1" t="s">
        <v>44</v>
      </c>
      <c r="E253" s="1" t="s">
        <v>59</v>
      </c>
      <c r="F253" s="1" t="s">
        <v>16</v>
      </c>
      <c r="G253" s="1" t="s">
        <v>148</v>
      </c>
      <c r="H253" s="1">
        <v>48.5</v>
      </c>
      <c r="I253" s="1">
        <v>15.0</v>
      </c>
      <c r="J253" s="1">
        <v>219.0</v>
      </c>
      <c r="K253" s="1">
        <v>4850.0</v>
      </c>
      <c r="L253" s="1" t="s">
        <v>20</v>
      </c>
    </row>
    <row r="254" ht="14.25" customHeight="1">
      <c r="A254" s="1" t="s">
        <v>124</v>
      </c>
      <c r="B254" s="1">
        <v>102.0</v>
      </c>
      <c r="C254" s="1" t="s">
        <v>188</v>
      </c>
      <c r="D254" s="1" t="s">
        <v>44</v>
      </c>
      <c r="E254" s="1" t="s">
        <v>60</v>
      </c>
      <c r="F254" s="1" t="s">
        <v>16</v>
      </c>
      <c r="G254" s="1" t="s">
        <v>148</v>
      </c>
      <c r="H254" s="1">
        <v>55.9</v>
      </c>
      <c r="I254" s="1">
        <v>17.0</v>
      </c>
      <c r="J254" s="1">
        <v>228.0</v>
      </c>
      <c r="K254" s="1">
        <v>5600.0</v>
      </c>
      <c r="L254" s="1" t="s">
        <v>18</v>
      </c>
    </row>
    <row r="255" ht="14.25" customHeight="1">
      <c r="A255" s="1" t="s">
        <v>124</v>
      </c>
      <c r="B255" s="1">
        <v>103.0</v>
      </c>
      <c r="C255" s="1" t="s">
        <v>188</v>
      </c>
      <c r="D255" s="1" t="s">
        <v>44</v>
      </c>
      <c r="E255" s="1" t="s">
        <v>61</v>
      </c>
      <c r="F255" s="1" t="s">
        <v>16</v>
      </c>
      <c r="G255" s="1" t="s">
        <v>145</v>
      </c>
      <c r="H255" s="1">
        <v>47.2</v>
      </c>
      <c r="I255" s="1">
        <v>15.5</v>
      </c>
      <c r="J255" s="1">
        <v>215.0</v>
      </c>
      <c r="K255" s="1">
        <v>4975.0</v>
      </c>
      <c r="L255" s="1" t="s">
        <v>20</v>
      </c>
    </row>
    <row r="256" ht="14.25" customHeight="1">
      <c r="A256" s="1" t="s">
        <v>124</v>
      </c>
      <c r="B256" s="1">
        <v>104.0</v>
      </c>
      <c r="C256" s="1" t="s">
        <v>188</v>
      </c>
      <c r="D256" s="1" t="s">
        <v>44</v>
      </c>
      <c r="E256" s="1" t="s">
        <v>62</v>
      </c>
      <c r="F256" s="1" t="s">
        <v>16</v>
      </c>
      <c r="G256" s="1" t="s">
        <v>145</v>
      </c>
      <c r="H256" s="1">
        <v>49.1</v>
      </c>
      <c r="I256" s="1">
        <v>15.0</v>
      </c>
      <c r="J256" s="1">
        <v>228.0</v>
      </c>
      <c r="K256" s="1">
        <v>5500.0</v>
      </c>
      <c r="L256" s="1" t="s">
        <v>18</v>
      </c>
    </row>
    <row r="257" ht="14.25" customHeight="1">
      <c r="A257" s="1" t="s">
        <v>124</v>
      </c>
      <c r="B257" s="1">
        <v>105.0</v>
      </c>
      <c r="C257" s="1" t="s">
        <v>188</v>
      </c>
      <c r="D257" s="1" t="s">
        <v>44</v>
      </c>
      <c r="E257" s="1" t="s">
        <v>63</v>
      </c>
      <c r="F257" s="1" t="s">
        <v>16</v>
      </c>
      <c r="G257" s="1" t="s">
        <v>215</v>
      </c>
      <c r="H257" s="1">
        <v>47.3</v>
      </c>
      <c r="I257" s="1">
        <v>13.8</v>
      </c>
      <c r="J257" s="1">
        <v>216.0</v>
      </c>
      <c r="K257" s="1">
        <v>4725.0</v>
      </c>
      <c r="L257" s="1" t="s">
        <v>31</v>
      </c>
    </row>
    <row r="258" ht="14.25" customHeight="1">
      <c r="A258" s="1" t="s">
        <v>124</v>
      </c>
      <c r="B258" s="1">
        <v>106.0</v>
      </c>
      <c r="C258" s="1" t="s">
        <v>188</v>
      </c>
      <c r="D258" s="1" t="s">
        <v>44</v>
      </c>
      <c r="E258" s="1" t="s">
        <v>64</v>
      </c>
      <c r="F258" s="1" t="s">
        <v>16</v>
      </c>
      <c r="G258" s="1" t="s">
        <v>215</v>
      </c>
      <c r="H258" s="1">
        <v>46.8</v>
      </c>
      <c r="I258" s="1">
        <v>16.1</v>
      </c>
      <c r="J258" s="1">
        <v>215.0</v>
      </c>
      <c r="K258" s="1">
        <v>5500.0</v>
      </c>
      <c r="L258" s="1" t="s">
        <v>18</v>
      </c>
    </row>
    <row r="259" ht="14.25" customHeight="1">
      <c r="A259" s="1" t="s">
        <v>124</v>
      </c>
      <c r="B259" s="1">
        <v>107.0</v>
      </c>
      <c r="C259" s="1" t="s">
        <v>188</v>
      </c>
      <c r="D259" s="1" t="s">
        <v>44</v>
      </c>
      <c r="E259" s="1" t="s">
        <v>73</v>
      </c>
      <c r="F259" s="1" t="s">
        <v>16</v>
      </c>
      <c r="G259" s="1" t="s">
        <v>166</v>
      </c>
      <c r="H259" s="1">
        <v>41.7</v>
      </c>
      <c r="I259" s="1">
        <v>14.7</v>
      </c>
      <c r="J259" s="1">
        <v>210.0</v>
      </c>
      <c r="K259" s="1">
        <v>4700.0</v>
      </c>
      <c r="L259" s="1" t="s">
        <v>20</v>
      </c>
    </row>
    <row r="260" ht="14.25" customHeight="1">
      <c r="A260" s="1" t="s">
        <v>124</v>
      </c>
      <c r="B260" s="1">
        <v>108.0</v>
      </c>
      <c r="C260" s="1" t="s">
        <v>188</v>
      </c>
      <c r="D260" s="1" t="s">
        <v>44</v>
      </c>
      <c r="E260" s="1" t="s">
        <v>74</v>
      </c>
      <c r="F260" s="1" t="s">
        <v>16</v>
      </c>
      <c r="G260" s="1" t="s">
        <v>166</v>
      </c>
      <c r="H260" s="1">
        <v>53.4</v>
      </c>
      <c r="I260" s="1">
        <v>15.8</v>
      </c>
      <c r="J260" s="1">
        <v>219.0</v>
      </c>
      <c r="K260" s="1">
        <v>5500.0</v>
      </c>
      <c r="L260" s="1" t="s">
        <v>18</v>
      </c>
    </row>
    <row r="261" ht="14.25" customHeight="1">
      <c r="A261" s="1" t="s">
        <v>124</v>
      </c>
      <c r="B261" s="1">
        <v>109.0</v>
      </c>
      <c r="C261" s="1" t="s">
        <v>188</v>
      </c>
      <c r="D261" s="1" t="s">
        <v>44</v>
      </c>
      <c r="E261" s="1" t="s">
        <v>75</v>
      </c>
      <c r="F261" s="1" t="s">
        <v>16</v>
      </c>
      <c r="G261" s="1" t="s">
        <v>126</v>
      </c>
      <c r="H261" s="1">
        <v>43.3</v>
      </c>
      <c r="I261" s="1">
        <v>14.0</v>
      </c>
      <c r="J261" s="1">
        <v>208.0</v>
      </c>
      <c r="K261" s="1">
        <v>4575.0</v>
      </c>
      <c r="L261" s="1" t="s">
        <v>20</v>
      </c>
    </row>
    <row r="262" ht="14.25" customHeight="1">
      <c r="A262" s="1" t="s">
        <v>124</v>
      </c>
      <c r="B262" s="1">
        <v>110.0</v>
      </c>
      <c r="C262" s="1" t="s">
        <v>188</v>
      </c>
      <c r="D262" s="1" t="s">
        <v>44</v>
      </c>
      <c r="E262" s="1" t="s">
        <v>76</v>
      </c>
      <c r="F262" s="1" t="s">
        <v>16</v>
      </c>
      <c r="G262" s="1" t="s">
        <v>126</v>
      </c>
      <c r="H262" s="1">
        <v>48.1</v>
      </c>
      <c r="I262" s="1">
        <v>15.1</v>
      </c>
      <c r="J262" s="1">
        <v>209.0</v>
      </c>
      <c r="K262" s="1">
        <v>5500.0</v>
      </c>
      <c r="L262" s="1" t="s">
        <v>18</v>
      </c>
    </row>
    <row r="263" ht="14.25" customHeight="1">
      <c r="A263" s="1" t="s">
        <v>124</v>
      </c>
      <c r="B263" s="1">
        <v>111.0</v>
      </c>
      <c r="C263" s="1" t="s">
        <v>188</v>
      </c>
      <c r="D263" s="1" t="s">
        <v>44</v>
      </c>
      <c r="E263" s="1" t="s">
        <v>84</v>
      </c>
      <c r="F263" s="1" t="s">
        <v>16</v>
      </c>
      <c r="G263" s="1" t="s">
        <v>134</v>
      </c>
      <c r="H263" s="1">
        <v>50.5</v>
      </c>
      <c r="I263" s="1">
        <v>15.2</v>
      </c>
      <c r="J263" s="1">
        <v>216.0</v>
      </c>
      <c r="K263" s="1">
        <v>5000.0</v>
      </c>
      <c r="L263" s="1" t="s">
        <v>20</v>
      </c>
    </row>
    <row r="264" ht="14.25" customHeight="1">
      <c r="A264" s="1" t="s">
        <v>124</v>
      </c>
      <c r="B264" s="1">
        <v>112.0</v>
      </c>
      <c r="C264" s="1" t="s">
        <v>188</v>
      </c>
      <c r="D264" s="1" t="s">
        <v>44</v>
      </c>
      <c r="E264" s="1" t="s">
        <v>86</v>
      </c>
      <c r="F264" s="1" t="s">
        <v>16</v>
      </c>
      <c r="G264" s="1" t="s">
        <v>134</v>
      </c>
      <c r="H264" s="1">
        <v>49.8</v>
      </c>
      <c r="I264" s="1">
        <v>15.9</v>
      </c>
      <c r="J264" s="1">
        <v>229.0</v>
      </c>
      <c r="K264" s="1">
        <v>5950.0</v>
      </c>
      <c r="L264" s="1" t="s">
        <v>18</v>
      </c>
    </row>
    <row r="265" ht="14.25" customHeight="1">
      <c r="A265" s="1" t="s">
        <v>124</v>
      </c>
      <c r="B265" s="1">
        <v>113.0</v>
      </c>
      <c r="C265" s="1" t="s">
        <v>188</v>
      </c>
      <c r="D265" s="1" t="s">
        <v>44</v>
      </c>
      <c r="E265" s="1" t="s">
        <v>87</v>
      </c>
      <c r="F265" s="1" t="s">
        <v>16</v>
      </c>
      <c r="G265" s="1" t="s">
        <v>216</v>
      </c>
      <c r="H265" s="1">
        <v>43.5</v>
      </c>
      <c r="I265" s="1">
        <v>15.2</v>
      </c>
      <c r="J265" s="1">
        <v>213.0</v>
      </c>
      <c r="K265" s="1">
        <v>4650.0</v>
      </c>
      <c r="L265" s="1" t="s">
        <v>20</v>
      </c>
    </row>
    <row r="266" ht="14.25" customHeight="1">
      <c r="A266" s="1" t="s">
        <v>124</v>
      </c>
      <c r="B266" s="1">
        <v>114.0</v>
      </c>
      <c r="C266" s="1" t="s">
        <v>188</v>
      </c>
      <c r="D266" s="1" t="s">
        <v>44</v>
      </c>
      <c r="E266" s="1" t="s">
        <v>89</v>
      </c>
      <c r="F266" s="1" t="s">
        <v>16</v>
      </c>
      <c r="G266" s="1" t="s">
        <v>216</v>
      </c>
      <c r="H266" s="1">
        <v>51.5</v>
      </c>
      <c r="I266" s="1">
        <v>16.3</v>
      </c>
      <c r="J266" s="1">
        <v>230.0</v>
      </c>
      <c r="K266" s="1">
        <v>5500.0</v>
      </c>
      <c r="L266" s="1" t="s">
        <v>18</v>
      </c>
    </row>
    <row r="267" ht="14.25" customHeight="1">
      <c r="A267" s="1" t="s">
        <v>124</v>
      </c>
      <c r="B267" s="1">
        <v>115.0</v>
      </c>
      <c r="C267" s="1" t="s">
        <v>188</v>
      </c>
      <c r="D267" s="1" t="s">
        <v>44</v>
      </c>
      <c r="E267" s="1" t="s">
        <v>90</v>
      </c>
      <c r="F267" s="1" t="s">
        <v>16</v>
      </c>
      <c r="G267" s="1" t="s">
        <v>214</v>
      </c>
      <c r="H267" s="1">
        <v>46.2</v>
      </c>
      <c r="I267" s="1">
        <v>14.1</v>
      </c>
      <c r="J267" s="1">
        <v>217.0</v>
      </c>
      <c r="K267" s="1">
        <v>4375.0</v>
      </c>
      <c r="L267" s="1" t="s">
        <v>20</v>
      </c>
    </row>
    <row r="268" ht="14.25" customHeight="1">
      <c r="A268" s="1" t="s">
        <v>124</v>
      </c>
      <c r="B268" s="1">
        <v>116.0</v>
      </c>
      <c r="C268" s="1" t="s">
        <v>188</v>
      </c>
      <c r="D268" s="1" t="s">
        <v>44</v>
      </c>
      <c r="E268" s="1" t="s">
        <v>91</v>
      </c>
      <c r="F268" s="1" t="s">
        <v>16</v>
      </c>
      <c r="G268" s="1" t="s">
        <v>214</v>
      </c>
      <c r="H268" s="1">
        <v>55.1</v>
      </c>
      <c r="I268" s="1">
        <v>16.0</v>
      </c>
      <c r="J268" s="1">
        <v>230.0</v>
      </c>
      <c r="K268" s="1">
        <v>5850.0</v>
      </c>
      <c r="L268" s="1" t="s">
        <v>18</v>
      </c>
    </row>
    <row r="269" ht="14.25" customHeight="1">
      <c r="A269" s="1" t="s">
        <v>124</v>
      </c>
      <c r="B269" s="1">
        <v>117.0</v>
      </c>
      <c r="C269" s="1" t="s">
        <v>188</v>
      </c>
      <c r="D269" s="1" t="s">
        <v>44</v>
      </c>
      <c r="E269" s="1" t="s">
        <v>92</v>
      </c>
      <c r="F269" s="1" t="s">
        <v>16</v>
      </c>
      <c r="G269" s="1" t="s">
        <v>215</v>
      </c>
      <c r="H269" s="1">
        <v>44.5</v>
      </c>
      <c r="I269" s="1">
        <v>15.7</v>
      </c>
      <c r="J269" s="1">
        <v>217.0</v>
      </c>
      <c r="K269" s="1">
        <v>4875.0</v>
      </c>
      <c r="L269" s="1" t="s">
        <v>31</v>
      </c>
    </row>
    <row r="270" ht="14.25" customHeight="1">
      <c r="A270" s="1" t="s">
        <v>124</v>
      </c>
      <c r="B270" s="1">
        <v>118.0</v>
      </c>
      <c r="C270" s="1" t="s">
        <v>188</v>
      </c>
      <c r="D270" s="1" t="s">
        <v>44</v>
      </c>
      <c r="E270" s="1" t="s">
        <v>94</v>
      </c>
      <c r="F270" s="1" t="s">
        <v>16</v>
      </c>
      <c r="G270" s="1" t="s">
        <v>215</v>
      </c>
      <c r="H270" s="1">
        <v>48.8</v>
      </c>
      <c r="I270" s="1">
        <v>16.2</v>
      </c>
      <c r="J270" s="1">
        <v>222.0</v>
      </c>
      <c r="K270" s="1">
        <v>6000.0</v>
      </c>
      <c r="L270" s="1" t="s">
        <v>18</v>
      </c>
    </row>
    <row r="271" ht="14.25" customHeight="1">
      <c r="A271" s="1" t="s">
        <v>124</v>
      </c>
      <c r="B271" s="1">
        <v>119.0</v>
      </c>
      <c r="C271" s="1" t="s">
        <v>188</v>
      </c>
      <c r="D271" s="1" t="s">
        <v>44</v>
      </c>
      <c r="E271" s="1" t="s">
        <v>97</v>
      </c>
      <c r="F271" s="1" t="s">
        <v>26</v>
      </c>
      <c r="G271" s="1" t="s">
        <v>215</v>
      </c>
      <c r="H271" s="1">
        <v>47.2</v>
      </c>
      <c r="I271" s="1">
        <v>13.7</v>
      </c>
      <c r="J271" s="1">
        <v>214.0</v>
      </c>
      <c r="K271" s="1">
        <v>4925.0</v>
      </c>
      <c r="L271" s="1" t="s">
        <v>20</v>
      </c>
    </row>
    <row r="272" ht="14.25" customHeight="1">
      <c r="A272" s="1" t="s">
        <v>124</v>
      </c>
      <c r="B272" s="1">
        <v>121.0</v>
      </c>
      <c r="C272" s="1" t="s">
        <v>188</v>
      </c>
      <c r="D272" s="1" t="s">
        <v>44</v>
      </c>
      <c r="E272" s="1" t="s">
        <v>99</v>
      </c>
      <c r="F272" s="1" t="s">
        <v>16</v>
      </c>
      <c r="G272" s="1" t="s">
        <v>148</v>
      </c>
      <c r="H272" s="1">
        <v>46.8</v>
      </c>
      <c r="I272" s="1">
        <v>14.3</v>
      </c>
      <c r="J272" s="1">
        <v>215.0</v>
      </c>
      <c r="K272" s="1">
        <v>4850.0</v>
      </c>
      <c r="L272" s="1" t="s">
        <v>20</v>
      </c>
    </row>
    <row r="273" ht="14.25" customHeight="1">
      <c r="A273" s="1" t="s">
        <v>124</v>
      </c>
      <c r="B273" s="1">
        <v>122.0</v>
      </c>
      <c r="C273" s="1" t="s">
        <v>188</v>
      </c>
      <c r="D273" s="1" t="s">
        <v>44</v>
      </c>
      <c r="E273" s="1" t="s">
        <v>101</v>
      </c>
      <c r="F273" s="1" t="s">
        <v>16</v>
      </c>
      <c r="G273" s="1" t="s">
        <v>148</v>
      </c>
      <c r="H273" s="1">
        <v>50.4</v>
      </c>
      <c r="I273" s="1">
        <v>15.7</v>
      </c>
      <c r="J273" s="1">
        <v>222.0</v>
      </c>
      <c r="K273" s="1">
        <v>5750.0</v>
      </c>
      <c r="L273" s="1" t="s">
        <v>18</v>
      </c>
    </row>
    <row r="274" ht="14.25" customHeight="1">
      <c r="A274" s="1" t="s">
        <v>124</v>
      </c>
      <c r="B274" s="1">
        <v>123.0</v>
      </c>
      <c r="C274" s="1" t="s">
        <v>188</v>
      </c>
      <c r="D274" s="1" t="s">
        <v>44</v>
      </c>
      <c r="E274" s="1" t="s">
        <v>217</v>
      </c>
      <c r="F274" s="1" t="s">
        <v>16</v>
      </c>
      <c r="G274" s="1" t="s">
        <v>148</v>
      </c>
      <c r="H274" s="1">
        <v>45.2</v>
      </c>
      <c r="I274" s="1">
        <v>14.8</v>
      </c>
      <c r="J274" s="1">
        <v>212.0</v>
      </c>
      <c r="K274" s="1">
        <v>5200.0</v>
      </c>
      <c r="L274" s="1" t="s">
        <v>20</v>
      </c>
    </row>
    <row r="275" ht="14.25" customHeight="1">
      <c r="A275" s="1" t="s">
        <v>124</v>
      </c>
      <c r="B275" s="1">
        <v>124.0</v>
      </c>
      <c r="C275" s="1" t="s">
        <v>188</v>
      </c>
      <c r="D275" s="1" t="s">
        <v>44</v>
      </c>
      <c r="E275" s="1" t="s">
        <v>218</v>
      </c>
      <c r="F275" s="1" t="s">
        <v>16</v>
      </c>
      <c r="G275" s="1" t="s">
        <v>148</v>
      </c>
      <c r="H275" s="1">
        <v>49.9</v>
      </c>
      <c r="I275" s="1">
        <v>16.1</v>
      </c>
      <c r="J275" s="1">
        <v>213.0</v>
      </c>
      <c r="K275" s="1">
        <v>5400.0</v>
      </c>
      <c r="L275" s="1" t="s">
        <v>18</v>
      </c>
    </row>
    <row r="276" ht="14.25" customHeight="1">
      <c r="A276" s="1" t="s">
        <v>12</v>
      </c>
      <c r="B276" s="1">
        <v>1.0</v>
      </c>
      <c r="C276" s="1" t="s">
        <v>219</v>
      </c>
      <c r="D276" s="1" t="s">
        <v>56</v>
      </c>
      <c r="E276" s="1" t="s">
        <v>141</v>
      </c>
      <c r="F276" s="1" t="s">
        <v>26</v>
      </c>
      <c r="G276" s="1" t="s">
        <v>71</v>
      </c>
      <c r="H276" s="1">
        <v>46.5</v>
      </c>
      <c r="I276" s="1">
        <v>17.9</v>
      </c>
      <c r="J276" s="1">
        <v>192.0</v>
      </c>
      <c r="K276" s="1">
        <v>3500.0</v>
      </c>
      <c r="L276" s="1" t="s">
        <v>20</v>
      </c>
    </row>
    <row r="277" ht="14.25" customHeight="1">
      <c r="A277" s="1" t="s">
        <v>12</v>
      </c>
      <c r="B277" s="1">
        <v>2.0</v>
      </c>
      <c r="C277" s="1" t="s">
        <v>219</v>
      </c>
      <c r="D277" s="1" t="s">
        <v>56</v>
      </c>
      <c r="E277" s="1" t="s">
        <v>143</v>
      </c>
      <c r="F277" s="1" t="s">
        <v>26</v>
      </c>
      <c r="G277" s="1" t="s">
        <v>71</v>
      </c>
      <c r="H277" s="1">
        <v>50.0</v>
      </c>
      <c r="I277" s="1">
        <v>19.5</v>
      </c>
      <c r="J277" s="1">
        <v>196.0</v>
      </c>
      <c r="K277" s="1">
        <v>3900.0</v>
      </c>
      <c r="L277" s="1" t="s">
        <v>18</v>
      </c>
    </row>
    <row r="278" ht="14.25" customHeight="1">
      <c r="A278" s="1" t="s">
        <v>12</v>
      </c>
      <c r="B278" s="1">
        <v>3.0</v>
      </c>
      <c r="C278" s="1" t="s">
        <v>219</v>
      </c>
      <c r="D278" s="1" t="s">
        <v>56</v>
      </c>
      <c r="E278" s="1" t="s">
        <v>220</v>
      </c>
      <c r="F278" s="1" t="s">
        <v>16</v>
      </c>
      <c r="G278" s="1" t="s">
        <v>221</v>
      </c>
      <c r="H278" s="1">
        <v>51.3</v>
      </c>
      <c r="I278" s="1">
        <v>19.2</v>
      </c>
      <c r="J278" s="1">
        <v>193.0</v>
      </c>
      <c r="K278" s="1">
        <v>3650.0</v>
      </c>
      <c r="L278" s="1" t="s">
        <v>18</v>
      </c>
    </row>
    <row r="279" ht="14.25" customHeight="1">
      <c r="A279" s="1" t="s">
        <v>12</v>
      </c>
      <c r="B279" s="1">
        <v>4.0</v>
      </c>
      <c r="C279" s="1" t="s">
        <v>219</v>
      </c>
      <c r="D279" s="1" t="s">
        <v>56</v>
      </c>
      <c r="E279" s="1" t="s">
        <v>222</v>
      </c>
      <c r="F279" s="1" t="s">
        <v>16</v>
      </c>
      <c r="G279" s="1" t="s">
        <v>221</v>
      </c>
      <c r="H279" s="1">
        <v>45.4</v>
      </c>
      <c r="I279" s="1">
        <v>18.7</v>
      </c>
      <c r="J279" s="1">
        <v>188.0</v>
      </c>
      <c r="K279" s="1">
        <v>3525.0</v>
      </c>
      <c r="L279" s="1" t="s">
        <v>20</v>
      </c>
    </row>
    <row r="280" ht="14.25" customHeight="1">
      <c r="A280" s="1" t="s">
        <v>12</v>
      </c>
      <c r="B280" s="1">
        <v>5.0</v>
      </c>
      <c r="C280" s="1" t="s">
        <v>219</v>
      </c>
      <c r="D280" s="1" t="s">
        <v>56</v>
      </c>
      <c r="E280" s="1" t="s">
        <v>147</v>
      </c>
      <c r="F280" s="1" t="s">
        <v>16</v>
      </c>
      <c r="G280" s="1" t="s">
        <v>223</v>
      </c>
      <c r="H280" s="1">
        <v>52.7</v>
      </c>
      <c r="I280" s="1">
        <v>19.8</v>
      </c>
      <c r="J280" s="1">
        <v>197.0</v>
      </c>
      <c r="K280" s="1">
        <v>3725.0</v>
      </c>
      <c r="L280" s="1" t="s">
        <v>18</v>
      </c>
    </row>
    <row r="281" ht="14.25" customHeight="1">
      <c r="A281" s="1" t="s">
        <v>12</v>
      </c>
      <c r="B281" s="1">
        <v>6.0</v>
      </c>
      <c r="C281" s="1" t="s">
        <v>219</v>
      </c>
      <c r="D281" s="1" t="s">
        <v>56</v>
      </c>
      <c r="E281" s="1" t="s">
        <v>149</v>
      </c>
      <c r="F281" s="1" t="s">
        <v>16</v>
      </c>
      <c r="G281" s="1" t="s">
        <v>223</v>
      </c>
      <c r="H281" s="1">
        <v>45.2</v>
      </c>
      <c r="I281" s="1">
        <v>17.8</v>
      </c>
      <c r="J281" s="1">
        <v>198.0</v>
      </c>
      <c r="K281" s="1">
        <v>3950.0</v>
      </c>
      <c r="L281" s="1" t="s">
        <v>20</v>
      </c>
    </row>
    <row r="282" ht="14.25" customHeight="1">
      <c r="A282" s="1" t="s">
        <v>12</v>
      </c>
      <c r="B282" s="1">
        <v>7.0</v>
      </c>
      <c r="C282" s="1" t="s">
        <v>219</v>
      </c>
      <c r="D282" s="1" t="s">
        <v>56</v>
      </c>
      <c r="E282" s="1" t="s">
        <v>150</v>
      </c>
      <c r="F282" s="1" t="s">
        <v>16</v>
      </c>
      <c r="G282" s="1" t="s">
        <v>224</v>
      </c>
      <c r="H282" s="1">
        <v>46.1</v>
      </c>
      <c r="I282" s="1">
        <v>18.2</v>
      </c>
      <c r="J282" s="1">
        <v>178.0</v>
      </c>
      <c r="K282" s="1">
        <v>3250.0</v>
      </c>
      <c r="L282" s="1" t="s">
        <v>20</v>
      </c>
    </row>
    <row r="283" ht="14.25" customHeight="1">
      <c r="A283" s="1" t="s">
        <v>12</v>
      </c>
      <c r="B283" s="1">
        <v>8.0</v>
      </c>
      <c r="C283" s="1" t="s">
        <v>219</v>
      </c>
      <c r="D283" s="1" t="s">
        <v>56</v>
      </c>
      <c r="E283" s="1" t="s">
        <v>151</v>
      </c>
      <c r="F283" s="1" t="s">
        <v>16</v>
      </c>
      <c r="G283" s="1" t="s">
        <v>224</v>
      </c>
      <c r="H283" s="1">
        <v>51.3</v>
      </c>
      <c r="I283" s="1">
        <v>18.2</v>
      </c>
      <c r="J283" s="1">
        <v>197.0</v>
      </c>
      <c r="K283" s="1">
        <v>3750.0</v>
      </c>
      <c r="L283" s="1" t="s">
        <v>18</v>
      </c>
    </row>
    <row r="284" ht="14.25" customHeight="1">
      <c r="A284" s="1" t="s">
        <v>12</v>
      </c>
      <c r="B284" s="1">
        <v>9.0</v>
      </c>
      <c r="C284" s="1" t="s">
        <v>219</v>
      </c>
      <c r="D284" s="1" t="s">
        <v>56</v>
      </c>
      <c r="E284" s="1" t="s">
        <v>152</v>
      </c>
      <c r="F284" s="1" t="s">
        <v>16</v>
      </c>
      <c r="G284" s="1" t="s">
        <v>223</v>
      </c>
      <c r="H284" s="1">
        <v>46.0</v>
      </c>
      <c r="I284" s="1">
        <v>18.9</v>
      </c>
      <c r="J284" s="1">
        <v>195.0</v>
      </c>
      <c r="K284" s="1">
        <v>4150.0</v>
      </c>
      <c r="L284" s="1" t="s">
        <v>20</v>
      </c>
    </row>
    <row r="285" ht="14.25" customHeight="1">
      <c r="A285" s="1" t="s">
        <v>12</v>
      </c>
      <c r="B285" s="1">
        <v>10.0</v>
      </c>
      <c r="C285" s="1" t="s">
        <v>219</v>
      </c>
      <c r="D285" s="1" t="s">
        <v>56</v>
      </c>
      <c r="E285" s="1" t="s">
        <v>154</v>
      </c>
      <c r="F285" s="1" t="s">
        <v>16</v>
      </c>
      <c r="G285" s="1" t="s">
        <v>223</v>
      </c>
      <c r="H285" s="1">
        <v>51.3</v>
      </c>
      <c r="I285" s="1">
        <v>19.9</v>
      </c>
      <c r="J285" s="1">
        <v>198.0</v>
      </c>
      <c r="K285" s="1">
        <v>3700.0</v>
      </c>
      <c r="L285" s="1" t="s">
        <v>18</v>
      </c>
    </row>
    <row r="286" ht="14.25" customHeight="1">
      <c r="A286" s="1" t="s">
        <v>12</v>
      </c>
      <c r="B286" s="1">
        <v>11.0</v>
      </c>
      <c r="C286" s="1" t="s">
        <v>219</v>
      </c>
      <c r="D286" s="1" t="s">
        <v>56</v>
      </c>
      <c r="E286" s="1" t="s">
        <v>225</v>
      </c>
      <c r="F286" s="1" t="s">
        <v>16</v>
      </c>
      <c r="G286" s="1" t="s">
        <v>224</v>
      </c>
      <c r="H286" s="1">
        <v>46.6</v>
      </c>
      <c r="I286" s="1">
        <v>17.8</v>
      </c>
      <c r="J286" s="1">
        <v>193.0</v>
      </c>
      <c r="K286" s="1">
        <v>3800.0</v>
      </c>
      <c r="L286" s="1" t="s">
        <v>20</v>
      </c>
    </row>
    <row r="287" ht="14.25" customHeight="1">
      <c r="A287" s="1" t="s">
        <v>12</v>
      </c>
      <c r="B287" s="1">
        <v>12.0</v>
      </c>
      <c r="C287" s="1" t="s">
        <v>219</v>
      </c>
      <c r="D287" s="1" t="s">
        <v>56</v>
      </c>
      <c r="E287" s="1" t="s">
        <v>226</v>
      </c>
      <c r="F287" s="1" t="s">
        <v>16</v>
      </c>
      <c r="G287" s="1" t="s">
        <v>224</v>
      </c>
      <c r="H287" s="1">
        <v>51.7</v>
      </c>
      <c r="I287" s="1">
        <v>20.3</v>
      </c>
      <c r="J287" s="1">
        <v>194.0</v>
      </c>
      <c r="K287" s="1">
        <v>3775.0</v>
      </c>
      <c r="L287" s="1" t="s">
        <v>18</v>
      </c>
    </row>
    <row r="288" ht="14.25" customHeight="1">
      <c r="A288" s="1" t="s">
        <v>12</v>
      </c>
      <c r="B288" s="1">
        <v>13.0</v>
      </c>
      <c r="C288" s="1" t="s">
        <v>219</v>
      </c>
      <c r="D288" s="1" t="s">
        <v>56</v>
      </c>
      <c r="E288" s="1" t="s">
        <v>155</v>
      </c>
      <c r="F288" s="1" t="s">
        <v>16</v>
      </c>
      <c r="G288" s="1" t="s">
        <v>221</v>
      </c>
      <c r="H288" s="1">
        <v>47.0</v>
      </c>
      <c r="I288" s="1">
        <v>17.3</v>
      </c>
      <c r="J288" s="1">
        <v>185.0</v>
      </c>
      <c r="K288" s="1">
        <v>3700.0</v>
      </c>
      <c r="L288" s="1" t="s">
        <v>20</v>
      </c>
    </row>
    <row r="289" ht="14.25" customHeight="1">
      <c r="A289" s="1" t="s">
        <v>12</v>
      </c>
      <c r="B289" s="1">
        <v>14.0</v>
      </c>
      <c r="C289" s="1" t="s">
        <v>219</v>
      </c>
      <c r="D289" s="1" t="s">
        <v>56</v>
      </c>
      <c r="E289" s="1" t="s">
        <v>156</v>
      </c>
      <c r="F289" s="1" t="s">
        <v>16</v>
      </c>
      <c r="G289" s="1" t="s">
        <v>221</v>
      </c>
      <c r="H289" s="1">
        <v>52.0</v>
      </c>
      <c r="I289" s="1">
        <v>18.1</v>
      </c>
      <c r="J289" s="1">
        <v>201.0</v>
      </c>
      <c r="K289" s="1">
        <v>4050.0</v>
      </c>
      <c r="L289" s="1" t="s">
        <v>18</v>
      </c>
    </row>
    <row r="290" ht="14.25" customHeight="1">
      <c r="A290" s="1" t="s">
        <v>12</v>
      </c>
      <c r="B290" s="1">
        <v>15.0</v>
      </c>
      <c r="C290" s="1" t="s">
        <v>219</v>
      </c>
      <c r="D290" s="1" t="s">
        <v>56</v>
      </c>
      <c r="E290" s="1" t="s">
        <v>227</v>
      </c>
      <c r="F290" s="1" t="s">
        <v>16</v>
      </c>
      <c r="G290" s="1" t="s">
        <v>228</v>
      </c>
      <c r="H290" s="1">
        <v>45.9</v>
      </c>
      <c r="I290" s="1">
        <v>17.1</v>
      </c>
      <c r="J290" s="1">
        <v>190.0</v>
      </c>
      <c r="K290" s="1">
        <v>3575.0</v>
      </c>
      <c r="L290" s="1" t="s">
        <v>20</v>
      </c>
    </row>
    <row r="291" ht="14.25" customHeight="1">
      <c r="A291" s="1" t="s">
        <v>12</v>
      </c>
      <c r="B291" s="1">
        <v>16.0</v>
      </c>
      <c r="C291" s="1" t="s">
        <v>219</v>
      </c>
      <c r="D291" s="1" t="s">
        <v>56</v>
      </c>
      <c r="E291" s="1" t="s">
        <v>229</v>
      </c>
      <c r="F291" s="1" t="s">
        <v>16</v>
      </c>
      <c r="G291" s="1" t="s">
        <v>228</v>
      </c>
      <c r="H291" s="1">
        <v>50.5</v>
      </c>
      <c r="I291" s="1">
        <v>19.6</v>
      </c>
      <c r="J291" s="1">
        <v>201.0</v>
      </c>
      <c r="K291" s="1">
        <v>4050.0</v>
      </c>
      <c r="L291" s="1" t="s">
        <v>18</v>
      </c>
    </row>
    <row r="292" ht="14.25" customHeight="1">
      <c r="A292" s="1" t="s">
        <v>12</v>
      </c>
      <c r="B292" s="1">
        <v>17.0</v>
      </c>
      <c r="C292" s="1" t="s">
        <v>219</v>
      </c>
      <c r="D292" s="1" t="s">
        <v>56</v>
      </c>
      <c r="E292" s="1" t="s">
        <v>157</v>
      </c>
      <c r="F292" s="1" t="s">
        <v>26</v>
      </c>
      <c r="G292" s="1" t="s">
        <v>230</v>
      </c>
      <c r="H292" s="1">
        <v>50.3</v>
      </c>
      <c r="I292" s="1">
        <v>20.0</v>
      </c>
      <c r="J292" s="1">
        <v>197.0</v>
      </c>
      <c r="K292" s="1">
        <v>3300.0</v>
      </c>
      <c r="L292" s="1" t="s">
        <v>18</v>
      </c>
    </row>
    <row r="293" ht="14.25" customHeight="1">
      <c r="A293" s="1" t="s">
        <v>12</v>
      </c>
      <c r="B293" s="1">
        <v>18.0</v>
      </c>
      <c r="C293" s="1" t="s">
        <v>219</v>
      </c>
      <c r="D293" s="1" t="s">
        <v>56</v>
      </c>
      <c r="E293" s="1" t="s">
        <v>159</v>
      </c>
      <c r="F293" s="1" t="s">
        <v>26</v>
      </c>
      <c r="G293" s="1" t="s">
        <v>230</v>
      </c>
      <c r="H293" s="1">
        <v>58.0</v>
      </c>
      <c r="I293" s="1">
        <v>17.8</v>
      </c>
      <c r="J293" s="1">
        <v>181.0</v>
      </c>
      <c r="K293" s="1">
        <v>3700.0</v>
      </c>
      <c r="L293" s="1" t="s">
        <v>20</v>
      </c>
    </row>
    <row r="294" ht="14.25" customHeight="1">
      <c r="A294" s="1" t="s">
        <v>12</v>
      </c>
      <c r="B294" s="1">
        <v>19.0</v>
      </c>
      <c r="C294" s="1" t="s">
        <v>219</v>
      </c>
      <c r="D294" s="1" t="s">
        <v>56</v>
      </c>
      <c r="E294" s="1" t="s">
        <v>160</v>
      </c>
      <c r="F294" s="1" t="s">
        <v>16</v>
      </c>
      <c r="G294" s="1" t="s">
        <v>230</v>
      </c>
      <c r="H294" s="1">
        <v>46.4</v>
      </c>
      <c r="I294" s="1">
        <v>18.6</v>
      </c>
      <c r="J294" s="1">
        <v>190.0</v>
      </c>
      <c r="K294" s="1">
        <v>3450.0</v>
      </c>
      <c r="L294" s="1" t="s">
        <v>20</v>
      </c>
    </row>
    <row r="295" ht="14.25" customHeight="1">
      <c r="A295" s="1" t="s">
        <v>12</v>
      </c>
      <c r="B295" s="1">
        <v>20.0</v>
      </c>
      <c r="C295" s="1" t="s">
        <v>219</v>
      </c>
      <c r="D295" s="1" t="s">
        <v>56</v>
      </c>
      <c r="E295" s="1" t="s">
        <v>161</v>
      </c>
      <c r="F295" s="1" t="s">
        <v>16</v>
      </c>
      <c r="G295" s="1" t="s">
        <v>230</v>
      </c>
      <c r="H295" s="1">
        <v>49.2</v>
      </c>
      <c r="I295" s="1">
        <v>18.2</v>
      </c>
      <c r="J295" s="1">
        <v>195.0</v>
      </c>
      <c r="K295" s="1">
        <v>4400.0</v>
      </c>
      <c r="L295" s="1" t="s">
        <v>18</v>
      </c>
    </row>
    <row r="296" ht="14.25" customHeight="1">
      <c r="A296" s="1" t="s">
        <v>12</v>
      </c>
      <c r="B296" s="1">
        <v>21.0</v>
      </c>
      <c r="C296" s="1" t="s">
        <v>219</v>
      </c>
      <c r="D296" s="1" t="s">
        <v>56</v>
      </c>
      <c r="E296" s="1" t="s">
        <v>162</v>
      </c>
      <c r="F296" s="1" t="s">
        <v>16</v>
      </c>
      <c r="G296" s="1" t="s">
        <v>196</v>
      </c>
      <c r="H296" s="1">
        <v>42.4</v>
      </c>
      <c r="I296" s="1">
        <v>17.3</v>
      </c>
      <c r="J296" s="1">
        <v>181.0</v>
      </c>
      <c r="K296" s="1">
        <v>3600.0</v>
      </c>
      <c r="L296" s="1" t="s">
        <v>20</v>
      </c>
    </row>
    <row r="297" ht="14.25" customHeight="1">
      <c r="A297" s="1" t="s">
        <v>12</v>
      </c>
      <c r="B297" s="1">
        <v>22.0</v>
      </c>
      <c r="C297" s="1" t="s">
        <v>219</v>
      </c>
      <c r="D297" s="1" t="s">
        <v>56</v>
      </c>
      <c r="E297" s="1" t="s">
        <v>164</v>
      </c>
      <c r="F297" s="1" t="s">
        <v>16</v>
      </c>
      <c r="G297" s="1" t="s">
        <v>196</v>
      </c>
      <c r="H297" s="1">
        <v>48.5</v>
      </c>
      <c r="I297" s="1">
        <v>17.5</v>
      </c>
      <c r="J297" s="1">
        <v>191.0</v>
      </c>
      <c r="K297" s="1">
        <v>3400.0</v>
      </c>
      <c r="L297" s="1" t="s">
        <v>18</v>
      </c>
    </row>
    <row r="298" ht="14.25" customHeight="1">
      <c r="A298" s="1" t="s">
        <v>12</v>
      </c>
      <c r="B298" s="1">
        <v>23.0</v>
      </c>
      <c r="C298" s="1" t="s">
        <v>219</v>
      </c>
      <c r="D298" s="1" t="s">
        <v>56</v>
      </c>
      <c r="E298" s="1" t="s">
        <v>186</v>
      </c>
      <c r="F298" s="1" t="s">
        <v>26</v>
      </c>
      <c r="G298" s="1" t="s">
        <v>224</v>
      </c>
      <c r="H298" s="1">
        <v>43.2</v>
      </c>
      <c r="I298" s="1">
        <v>16.6</v>
      </c>
      <c r="J298" s="1">
        <v>187.0</v>
      </c>
      <c r="K298" s="1">
        <v>2900.0</v>
      </c>
      <c r="L298" s="1" t="s">
        <v>20</v>
      </c>
    </row>
    <row r="299" ht="14.25" customHeight="1">
      <c r="A299" s="1" t="s">
        <v>12</v>
      </c>
      <c r="B299" s="1">
        <v>24.0</v>
      </c>
      <c r="C299" s="1" t="s">
        <v>219</v>
      </c>
      <c r="D299" s="1" t="s">
        <v>56</v>
      </c>
      <c r="E299" s="1" t="s">
        <v>187</v>
      </c>
      <c r="F299" s="1" t="s">
        <v>26</v>
      </c>
      <c r="G299" s="1" t="s">
        <v>224</v>
      </c>
      <c r="H299" s="1">
        <v>50.6</v>
      </c>
      <c r="I299" s="1">
        <v>19.4</v>
      </c>
      <c r="J299" s="1">
        <v>193.0</v>
      </c>
      <c r="K299" s="1">
        <v>3800.0</v>
      </c>
      <c r="L299" s="1" t="s">
        <v>18</v>
      </c>
    </row>
    <row r="300" ht="14.25" customHeight="1">
      <c r="A300" s="1" t="s">
        <v>12</v>
      </c>
      <c r="B300" s="1">
        <v>25.0</v>
      </c>
      <c r="C300" s="1" t="s">
        <v>219</v>
      </c>
      <c r="D300" s="1" t="s">
        <v>56</v>
      </c>
      <c r="E300" s="1" t="s">
        <v>231</v>
      </c>
      <c r="F300" s="1" t="s">
        <v>26</v>
      </c>
      <c r="G300" s="1" t="s">
        <v>224</v>
      </c>
      <c r="H300" s="1">
        <v>46.7</v>
      </c>
      <c r="I300" s="1">
        <v>17.9</v>
      </c>
      <c r="J300" s="1">
        <v>195.0</v>
      </c>
      <c r="K300" s="1">
        <v>3300.0</v>
      </c>
      <c r="L300" s="1" t="s">
        <v>20</v>
      </c>
    </row>
    <row r="301" ht="14.25" customHeight="1">
      <c r="A301" s="1" t="s">
        <v>12</v>
      </c>
      <c r="B301" s="1">
        <v>26.0</v>
      </c>
      <c r="C301" s="1" t="s">
        <v>219</v>
      </c>
      <c r="D301" s="1" t="s">
        <v>56</v>
      </c>
      <c r="E301" s="1" t="s">
        <v>232</v>
      </c>
      <c r="F301" s="1" t="s">
        <v>26</v>
      </c>
      <c r="G301" s="1" t="s">
        <v>224</v>
      </c>
      <c r="H301" s="1">
        <v>52.0</v>
      </c>
      <c r="I301" s="1">
        <v>19.0</v>
      </c>
      <c r="J301" s="1">
        <v>197.0</v>
      </c>
      <c r="K301" s="1">
        <v>4150.0</v>
      </c>
      <c r="L301" s="1" t="s">
        <v>18</v>
      </c>
    </row>
    <row r="302" ht="14.25" customHeight="1">
      <c r="A302" s="1" t="s">
        <v>79</v>
      </c>
      <c r="B302" s="1">
        <v>27.0</v>
      </c>
      <c r="C302" s="1" t="s">
        <v>219</v>
      </c>
      <c r="D302" s="1" t="s">
        <v>56</v>
      </c>
      <c r="E302" s="1" t="s">
        <v>141</v>
      </c>
      <c r="F302" s="1" t="s">
        <v>26</v>
      </c>
      <c r="G302" s="1" t="s">
        <v>233</v>
      </c>
      <c r="H302" s="1">
        <v>50.5</v>
      </c>
      <c r="I302" s="1">
        <v>18.4</v>
      </c>
      <c r="J302" s="1">
        <v>200.0</v>
      </c>
      <c r="K302" s="1">
        <v>3400.0</v>
      </c>
      <c r="L302" s="1" t="s">
        <v>20</v>
      </c>
    </row>
    <row r="303" ht="14.25" customHeight="1">
      <c r="A303" s="1" t="s">
        <v>79</v>
      </c>
      <c r="B303" s="1">
        <v>28.0</v>
      </c>
      <c r="C303" s="1" t="s">
        <v>219</v>
      </c>
      <c r="D303" s="1" t="s">
        <v>56</v>
      </c>
      <c r="E303" s="1" t="s">
        <v>143</v>
      </c>
      <c r="F303" s="1" t="s">
        <v>26</v>
      </c>
      <c r="G303" s="1" t="s">
        <v>233</v>
      </c>
      <c r="H303" s="1">
        <v>49.5</v>
      </c>
      <c r="I303" s="1">
        <v>19.0</v>
      </c>
      <c r="J303" s="1">
        <v>200.0</v>
      </c>
      <c r="K303" s="1">
        <v>3800.0</v>
      </c>
      <c r="L303" s="1" t="s">
        <v>18</v>
      </c>
    </row>
    <row r="304" ht="14.25" customHeight="1">
      <c r="A304" s="1" t="s">
        <v>79</v>
      </c>
      <c r="B304" s="1">
        <v>29.0</v>
      </c>
      <c r="C304" s="1" t="s">
        <v>219</v>
      </c>
      <c r="D304" s="1" t="s">
        <v>56</v>
      </c>
      <c r="E304" s="1" t="s">
        <v>220</v>
      </c>
      <c r="F304" s="1" t="s">
        <v>16</v>
      </c>
      <c r="G304" s="1" t="s">
        <v>88</v>
      </c>
      <c r="H304" s="1">
        <v>46.4</v>
      </c>
      <c r="I304" s="1">
        <v>17.8</v>
      </c>
      <c r="J304" s="1">
        <v>191.0</v>
      </c>
      <c r="K304" s="1">
        <v>3700.0</v>
      </c>
      <c r="L304" s="1" t="s">
        <v>20</v>
      </c>
    </row>
    <row r="305" ht="14.25" customHeight="1">
      <c r="A305" s="1" t="s">
        <v>79</v>
      </c>
      <c r="B305" s="1">
        <v>30.0</v>
      </c>
      <c r="C305" s="1" t="s">
        <v>219</v>
      </c>
      <c r="D305" s="1" t="s">
        <v>56</v>
      </c>
      <c r="E305" s="1" t="s">
        <v>222</v>
      </c>
      <c r="F305" s="1" t="s">
        <v>16</v>
      </c>
      <c r="G305" s="1" t="s">
        <v>88</v>
      </c>
      <c r="H305" s="1">
        <v>52.8</v>
      </c>
      <c r="I305" s="1">
        <v>20.0</v>
      </c>
      <c r="J305" s="1">
        <v>205.0</v>
      </c>
      <c r="K305" s="1">
        <v>4550.0</v>
      </c>
      <c r="L305" s="1" t="s">
        <v>18</v>
      </c>
    </row>
    <row r="306" ht="14.25" customHeight="1">
      <c r="A306" s="1" t="s">
        <v>79</v>
      </c>
      <c r="B306" s="1">
        <v>31.0</v>
      </c>
      <c r="C306" s="1" t="s">
        <v>219</v>
      </c>
      <c r="D306" s="1" t="s">
        <v>56</v>
      </c>
      <c r="E306" s="1" t="s">
        <v>144</v>
      </c>
      <c r="F306" s="1" t="s">
        <v>16</v>
      </c>
      <c r="G306" s="1" t="s">
        <v>234</v>
      </c>
      <c r="H306" s="1">
        <v>40.9</v>
      </c>
      <c r="I306" s="1">
        <v>16.6</v>
      </c>
      <c r="J306" s="1">
        <v>187.0</v>
      </c>
      <c r="K306" s="1">
        <v>3200.0</v>
      </c>
      <c r="L306" s="1" t="s">
        <v>20</v>
      </c>
    </row>
    <row r="307" ht="14.25" customHeight="1">
      <c r="A307" s="1" t="s">
        <v>79</v>
      </c>
      <c r="B307" s="1">
        <v>32.0</v>
      </c>
      <c r="C307" s="1" t="s">
        <v>219</v>
      </c>
      <c r="D307" s="1" t="s">
        <v>56</v>
      </c>
      <c r="E307" s="1" t="s">
        <v>146</v>
      </c>
      <c r="F307" s="1" t="s">
        <v>16</v>
      </c>
      <c r="G307" s="1" t="s">
        <v>234</v>
      </c>
      <c r="H307" s="1">
        <v>54.2</v>
      </c>
      <c r="I307" s="1">
        <v>20.8</v>
      </c>
      <c r="J307" s="1">
        <v>201.0</v>
      </c>
      <c r="K307" s="1">
        <v>4300.0</v>
      </c>
      <c r="L307" s="1" t="s">
        <v>18</v>
      </c>
    </row>
    <row r="308" ht="14.25" customHeight="1">
      <c r="A308" s="1" t="s">
        <v>79</v>
      </c>
      <c r="B308" s="1">
        <v>33.0</v>
      </c>
      <c r="C308" s="1" t="s">
        <v>219</v>
      </c>
      <c r="D308" s="1" t="s">
        <v>56</v>
      </c>
      <c r="E308" s="1" t="s">
        <v>235</v>
      </c>
      <c r="F308" s="1" t="s">
        <v>16</v>
      </c>
      <c r="G308" s="1" t="s">
        <v>234</v>
      </c>
      <c r="H308" s="1">
        <v>42.5</v>
      </c>
      <c r="I308" s="1">
        <v>16.7</v>
      </c>
      <c r="J308" s="1">
        <v>187.0</v>
      </c>
      <c r="K308" s="1">
        <v>3350.0</v>
      </c>
      <c r="L308" s="1" t="s">
        <v>20</v>
      </c>
    </row>
    <row r="309" ht="14.25" customHeight="1">
      <c r="A309" s="1" t="s">
        <v>79</v>
      </c>
      <c r="B309" s="1">
        <v>34.0</v>
      </c>
      <c r="C309" s="1" t="s">
        <v>219</v>
      </c>
      <c r="D309" s="1" t="s">
        <v>56</v>
      </c>
      <c r="E309" s="1" t="s">
        <v>236</v>
      </c>
      <c r="F309" s="1" t="s">
        <v>16</v>
      </c>
      <c r="G309" s="1" t="s">
        <v>234</v>
      </c>
      <c r="H309" s="1">
        <v>51.0</v>
      </c>
      <c r="I309" s="1">
        <v>18.8</v>
      </c>
      <c r="J309" s="1">
        <v>203.0</v>
      </c>
      <c r="K309" s="1">
        <v>4100.0</v>
      </c>
      <c r="L309" s="1" t="s">
        <v>18</v>
      </c>
    </row>
    <row r="310" ht="14.25" customHeight="1">
      <c r="A310" s="1" t="s">
        <v>79</v>
      </c>
      <c r="B310" s="1">
        <v>35.0</v>
      </c>
      <c r="C310" s="1" t="s">
        <v>219</v>
      </c>
      <c r="D310" s="1" t="s">
        <v>56</v>
      </c>
      <c r="E310" s="1" t="s">
        <v>152</v>
      </c>
      <c r="F310" s="1" t="s">
        <v>16</v>
      </c>
      <c r="G310" s="1" t="s">
        <v>233</v>
      </c>
      <c r="H310" s="1">
        <v>49.7</v>
      </c>
      <c r="I310" s="1">
        <v>18.6</v>
      </c>
      <c r="J310" s="1">
        <v>195.0</v>
      </c>
      <c r="K310" s="1">
        <v>3600.0</v>
      </c>
      <c r="L310" s="1" t="s">
        <v>18</v>
      </c>
    </row>
    <row r="311" ht="14.25" customHeight="1">
      <c r="A311" s="1" t="s">
        <v>79</v>
      </c>
      <c r="B311" s="1">
        <v>36.0</v>
      </c>
      <c r="C311" s="1" t="s">
        <v>219</v>
      </c>
      <c r="D311" s="1" t="s">
        <v>56</v>
      </c>
      <c r="E311" s="1" t="s">
        <v>154</v>
      </c>
      <c r="F311" s="1" t="s">
        <v>16</v>
      </c>
      <c r="G311" s="1" t="s">
        <v>233</v>
      </c>
      <c r="H311" s="1">
        <v>47.5</v>
      </c>
      <c r="I311" s="1">
        <v>16.8</v>
      </c>
      <c r="J311" s="1">
        <v>199.0</v>
      </c>
      <c r="K311" s="1">
        <v>3900.0</v>
      </c>
      <c r="L311" s="1" t="s">
        <v>20</v>
      </c>
    </row>
    <row r="312" ht="14.25" customHeight="1">
      <c r="A312" s="1" t="s">
        <v>79</v>
      </c>
      <c r="B312" s="1">
        <v>37.0</v>
      </c>
      <c r="C312" s="1" t="s">
        <v>219</v>
      </c>
      <c r="D312" s="1" t="s">
        <v>56</v>
      </c>
      <c r="E312" s="1" t="s">
        <v>155</v>
      </c>
      <c r="F312" s="1" t="s">
        <v>16</v>
      </c>
      <c r="G312" s="1" t="s">
        <v>88</v>
      </c>
      <c r="H312" s="1">
        <v>47.6</v>
      </c>
      <c r="I312" s="1">
        <v>18.3</v>
      </c>
      <c r="J312" s="1">
        <v>195.0</v>
      </c>
      <c r="K312" s="1">
        <v>3850.0</v>
      </c>
      <c r="L312" s="1" t="s">
        <v>20</v>
      </c>
    </row>
    <row r="313" ht="14.25" customHeight="1">
      <c r="A313" s="1" t="s">
        <v>79</v>
      </c>
      <c r="B313" s="1">
        <v>38.0</v>
      </c>
      <c r="C313" s="1" t="s">
        <v>219</v>
      </c>
      <c r="D313" s="1" t="s">
        <v>56</v>
      </c>
      <c r="E313" s="1" t="s">
        <v>156</v>
      </c>
      <c r="F313" s="1" t="s">
        <v>16</v>
      </c>
      <c r="G313" s="1" t="s">
        <v>88</v>
      </c>
      <c r="H313" s="1">
        <v>52.0</v>
      </c>
      <c r="I313" s="1">
        <v>20.7</v>
      </c>
      <c r="J313" s="1">
        <v>210.0</v>
      </c>
      <c r="K313" s="1">
        <v>4800.0</v>
      </c>
      <c r="L313" s="1" t="s">
        <v>18</v>
      </c>
    </row>
    <row r="314" ht="14.25" customHeight="1">
      <c r="A314" s="1" t="s">
        <v>79</v>
      </c>
      <c r="B314" s="1">
        <v>39.0</v>
      </c>
      <c r="C314" s="1" t="s">
        <v>219</v>
      </c>
      <c r="D314" s="1" t="s">
        <v>56</v>
      </c>
      <c r="E314" s="1" t="s">
        <v>160</v>
      </c>
      <c r="F314" s="1" t="s">
        <v>26</v>
      </c>
      <c r="G314" s="1" t="s">
        <v>234</v>
      </c>
      <c r="H314" s="1">
        <v>46.9</v>
      </c>
      <c r="I314" s="1">
        <v>16.6</v>
      </c>
      <c r="J314" s="1">
        <v>192.0</v>
      </c>
      <c r="K314" s="1">
        <v>2700.0</v>
      </c>
      <c r="L314" s="1" t="s">
        <v>20</v>
      </c>
    </row>
    <row r="315" ht="14.25" customHeight="1">
      <c r="A315" s="1" t="s">
        <v>79</v>
      </c>
      <c r="B315" s="1">
        <v>40.0</v>
      </c>
      <c r="C315" s="1" t="s">
        <v>219</v>
      </c>
      <c r="D315" s="1" t="s">
        <v>56</v>
      </c>
      <c r="E315" s="1" t="s">
        <v>161</v>
      </c>
      <c r="F315" s="1" t="s">
        <v>26</v>
      </c>
      <c r="G315" s="1" t="s">
        <v>234</v>
      </c>
      <c r="H315" s="1">
        <v>53.5</v>
      </c>
      <c r="I315" s="1">
        <v>19.9</v>
      </c>
      <c r="J315" s="1">
        <v>205.0</v>
      </c>
      <c r="K315" s="1">
        <v>4500.0</v>
      </c>
      <c r="L315" s="1" t="s">
        <v>18</v>
      </c>
    </row>
    <row r="316" ht="14.25" customHeight="1">
      <c r="A316" s="1" t="s">
        <v>79</v>
      </c>
      <c r="B316" s="1">
        <v>41.0</v>
      </c>
      <c r="C316" s="1" t="s">
        <v>219</v>
      </c>
      <c r="D316" s="1" t="s">
        <v>56</v>
      </c>
      <c r="E316" s="1" t="s">
        <v>237</v>
      </c>
      <c r="F316" s="1" t="s">
        <v>16</v>
      </c>
      <c r="G316" s="1" t="s">
        <v>234</v>
      </c>
      <c r="H316" s="1">
        <v>49.0</v>
      </c>
      <c r="I316" s="1">
        <v>19.5</v>
      </c>
      <c r="J316" s="1">
        <v>210.0</v>
      </c>
      <c r="K316" s="1">
        <v>3950.0</v>
      </c>
      <c r="L316" s="1" t="s">
        <v>18</v>
      </c>
    </row>
    <row r="317" ht="14.25" customHeight="1">
      <c r="A317" s="1" t="s">
        <v>79</v>
      </c>
      <c r="B317" s="1">
        <v>42.0</v>
      </c>
      <c r="C317" s="1" t="s">
        <v>219</v>
      </c>
      <c r="D317" s="1" t="s">
        <v>56</v>
      </c>
      <c r="E317" s="1" t="s">
        <v>238</v>
      </c>
      <c r="F317" s="1" t="s">
        <v>16</v>
      </c>
      <c r="G317" s="1" t="s">
        <v>234</v>
      </c>
      <c r="H317" s="1">
        <v>46.2</v>
      </c>
      <c r="I317" s="1">
        <v>17.5</v>
      </c>
      <c r="J317" s="1">
        <v>187.0</v>
      </c>
      <c r="K317" s="1">
        <v>3650.0</v>
      </c>
      <c r="L317" s="1" t="s">
        <v>20</v>
      </c>
    </row>
    <row r="318" ht="14.25" customHeight="1">
      <c r="A318" s="1" t="s">
        <v>79</v>
      </c>
      <c r="B318" s="1">
        <v>43.0</v>
      </c>
      <c r="C318" s="1" t="s">
        <v>219</v>
      </c>
      <c r="D318" s="1" t="s">
        <v>56</v>
      </c>
      <c r="E318" s="1" t="s">
        <v>239</v>
      </c>
      <c r="F318" s="1" t="s">
        <v>16</v>
      </c>
      <c r="G318" s="1" t="s">
        <v>88</v>
      </c>
      <c r="H318" s="1">
        <v>50.9</v>
      </c>
      <c r="I318" s="1">
        <v>19.1</v>
      </c>
      <c r="J318" s="1">
        <v>196.0</v>
      </c>
      <c r="K318" s="1">
        <v>3550.0</v>
      </c>
      <c r="L318" s="1" t="s">
        <v>18</v>
      </c>
    </row>
    <row r="319" ht="14.25" customHeight="1">
      <c r="A319" s="1" t="s">
        <v>79</v>
      </c>
      <c r="B319" s="1">
        <v>44.0</v>
      </c>
      <c r="C319" s="1" t="s">
        <v>219</v>
      </c>
      <c r="D319" s="1" t="s">
        <v>56</v>
      </c>
      <c r="E319" s="1" t="s">
        <v>240</v>
      </c>
      <c r="F319" s="1" t="s">
        <v>16</v>
      </c>
      <c r="G319" s="1" t="s">
        <v>88</v>
      </c>
      <c r="H319" s="1">
        <v>45.5</v>
      </c>
      <c r="I319" s="1">
        <v>17.0</v>
      </c>
      <c r="J319" s="1">
        <v>196.0</v>
      </c>
      <c r="K319" s="1">
        <v>3500.0</v>
      </c>
      <c r="L319" s="1" t="s">
        <v>20</v>
      </c>
    </row>
    <row r="320" ht="14.25" customHeight="1">
      <c r="A320" s="1" t="s">
        <v>124</v>
      </c>
      <c r="B320" s="1">
        <v>45.0</v>
      </c>
      <c r="C320" s="1" t="s">
        <v>219</v>
      </c>
      <c r="D320" s="1" t="s">
        <v>56</v>
      </c>
      <c r="E320" s="1" t="s">
        <v>241</v>
      </c>
      <c r="F320" s="1" t="s">
        <v>16</v>
      </c>
      <c r="G320" s="1" t="s">
        <v>142</v>
      </c>
      <c r="H320" s="1">
        <v>50.9</v>
      </c>
      <c r="I320" s="1">
        <v>17.9</v>
      </c>
      <c r="J320" s="1">
        <v>196.0</v>
      </c>
      <c r="K320" s="1">
        <v>3675.0</v>
      </c>
      <c r="L320" s="1" t="s">
        <v>20</v>
      </c>
    </row>
    <row r="321" ht="14.25" customHeight="1">
      <c r="A321" s="1" t="s">
        <v>124</v>
      </c>
      <c r="B321" s="1">
        <v>46.0</v>
      </c>
      <c r="C321" s="1" t="s">
        <v>219</v>
      </c>
      <c r="D321" s="1" t="s">
        <v>56</v>
      </c>
      <c r="E321" s="1" t="s">
        <v>242</v>
      </c>
      <c r="F321" s="1" t="s">
        <v>16</v>
      </c>
      <c r="G321" s="1" t="s">
        <v>142</v>
      </c>
      <c r="H321" s="1">
        <v>50.8</v>
      </c>
      <c r="I321" s="1">
        <v>18.5</v>
      </c>
      <c r="J321" s="1">
        <v>201.0</v>
      </c>
      <c r="K321" s="1">
        <v>4450.0</v>
      </c>
      <c r="L321" s="1" t="s">
        <v>18</v>
      </c>
    </row>
    <row r="322" ht="14.25" customHeight="1">
      <c r="A322" s="1" t="s">
        <v>124</v>
      </c>
      <c r="B322" s="1">
        <v>47.0</v>
      </c>
      <c r="C322" s="1" t="s">
        <v>219</v>
      </c>
      <c r="D322" s="1" t="s">
        <v>56</v>
      </c>
      <c r="E322" s="1" t="s">
        <v>243</v>
      </c>
      <c r="F322" s="1" t="s">
        <v>16</v>
      </c>
      <c r="G322" s="1" t="s">
        <v>216</v>
      </c>
      <c r="H322" s="1">
        <v>50.1</v>
      </c>
      <c r="I322" s="1">
        <v>17.9</v>
      </c>
      <c r="J322" s="1">
        <v>190.0</v>
      </c>
      <c r="K322" s="1">
        <v>3400.0</v>
      </c>
      <c r="L322" s="1" t="s">
        <v>20</v>
      </c>
    </row>
    <row r="323" ht="14.25" customHeight="1">
      <c r="A323" s="1" t="s">
        <v>124</v>
      </c>
      <c r="B323" s="1">
        <v>48.0</v>
      </c>
      <c r="C323" s="1" t="s">
        <v>219</v>
      </c>
      <c r="D323" s="1" t="s">
        <v>56</v>
      </c>
      <c r="E323" s="1" t="s">
        <v>244</v>
      </c>
      <c r="F323" s="1" t="s">
        <v>16</v>
      </c>
      <c r="G323" s="1" t="s">
        <v>216</v>
      </c>
      <c r="H323" s="1">
        <v>49.0</v>
      </c>
      <c r="I323" s="1">
        <v>19.6</v>
      </c>
      <c r="J323" s="1">
        <v>212.0</v>
      </c>
      <c r="K323" s="1">
        <v>4300.0</v>
      </c>
      <c r="L323" s="1" t="s">
        <v>18</v>
      </c>
    </row>
    <row r="324" ht="14.25" customHeight="1">
      <c r="A324" s="1" t="s">
        <v>124</v>
      </c>
      <c r="B324" s="1">
        <v>49.0</v>
      </c>
      <c r="C324" s="1" t="s">
        <v>219</v>
      </c>
      <c r="D324" s="1" t="s">
        <v>56</v>
      </c>
      <c r="E324" s="1" t="s">
        <v>245</v>
      </c>
      <c r="F324" s="1" t="s">
        <v>16</v>
      </c>
      <c r="G324" s="1" t="s">
        <v>163</v>
      </c>
      <c r="H324" s="1">
        <v>51.5</v>
      </c>
      <c r="I324" s="1">
        <v>18.7</v>
      </c>
      <c r="J324" s="1">
        <v>187.0</v>
      </c>
      <c r="K324" s="1">
        <v>3250.0</v>
      </c>
      <c r="L324" s="1" t="s">
        <v>18</v>
      </c>
    </row>
    <row r="325" ht="14.25" customHeight="1">
      <c r="A325" s="1" t="s">
        <v>124</v>
      </c>
      <c r="B325" s="1">
        <v>50.0</v>
      </c>
      <c r="C325" s="1" t="s">
        <v>219</v>
      </c>
      <c r="D325" s="1" t="s">
        <v>56</v>
      </c>
      <c r="E325" s="1" t="s">
        <v>246</v>
      </c>
      <c r="F325" s="1" t="s">
        <v>16</v>
      </c>
      <c r="G325" s="1" t="s">
        <v>163</v>
      </c>
      <c r="H325" s="1">
        <v>49.8</v>
      </c>
      <c r="I325" s="1">
        <v>17.3</v>
      </c>
      <c r="J325" s="1">
        <v>198.0</v>
      </c>
      <c r="K325" s="1">
        <v>3675.0</v>
      </c>
      <c r="L325" s="1" t="s">
        <v>20</v>
      </c>
    </row>
    <row r="326" ht="14.25" customHeight="1">
      <c r="A326" s="1" t="s">
        <v>124</v>
      </c>
      <c r="B326" s="1">
        <v>51.0</v>
      </c>
      <c r="C326" s="1" t="s">
        <v>219</v>
      </c>
      <c r="D326" s="1" t="s">
        <v>56</v>
      </c>
      <c r="E326" s="1" t="s">
        <v>247</v>
      </c>
      <c r="F326" s="1" t="s">
        <v>16</v>
      </c>
      <c r="G326" s="1" t="s">
        <v>158</v>
      </c>
      <c r="H326" s="1">
        <v>48.1</v>
      </c>
      <c r="I326" s="1">
        <v>16.4</v>
      </c>
      <c r="J326" s="1">
        <v>199.0</v>
      </c>
      <c r="K326" s="1">
        <v>3325.0</v>
      </c>
      <c r="L326" s="1" t="s">
        <v>20</v>
      </c>
    </row>
    <row r="327" ht="14.25" customHeight="1">
      <c r="A327" s="1" t="s">
        <v>124</v>
      </c>
      <c r="B327" s="1">
        <v>52.0</v>
      </c>
      <c r="C327" s="1" t="s">
        <v>219</v>
      </c>
      <c r="D327" s="1" t="s">
        <v>56</v>
      </c>
      <c r="E327" s="1" t="s">
        <v>248</v>
      </c>
      <c r="F327" s="1" t="s">
        <v>16</v>
      </c>
      <c r="G327" s="1" t="s">
        <v>158</v>
      </c>
      <c r="H327" s="1">
        <v>51.4</v>
      </c>
      <c r="I327" s="1">
        <v>19.0</v>
      </c>
      <c r="J327" s="1">
        <v>201.0</v>
      </c>
      <c r="K327" s="1">
        <v>3950.0</v>
      </c>
      <c r="L327" s="1" t="s">
        <v>18</v>
      </c>
    </row>
    <row r="328" ht="14.25" customHeight="1">
      <c r="A328" s="1" t="s">
        <v>124</v>
      </c>
      <c r="B328" s="1">
        <v>53.0</v>
      </c>
      <c r="C328" s="1" t="s">
        <v>219</v>
      </c>
      <c r="D328" s="1" t="s">
        <v>56</v>
      </c>
      <c r="E328" s="1" t="s">
        <v>249</v>
      </c>
      <c r="F328" s="1" t="s">
        <v>16</v>
      </c>
      <c r="G328" s="1" t="s">
        <v>163</v>
      </c>
      <c r="H328" s="1">
        <v>45.7</v>
      </c>
      <c r="I328" s="1">
        <v>17.3</v>
      </c>
      <c r="J328" s="1">
        <v>193.0</v>
      </c>
      <c r="K328" s="1">
        <v>3600.0</v>
      </c>
      <c r="L328" s="1" t="s">
        <v>20</v>
      </c>
    </row>
    <row r="329" ht="14.25" customHeight="1">
      <c r="A329" s="1" t="s">
        <v>124</v>
      </c>
      <c r="B329" s="1">
        <v>54.0</v>
      </c>
      <c r="C329" s="1" t="s">
        <v>219</v>
      </c>
      <c r="D329" s="1" t="s">
        <v>56</v>
      </c>
      <c r="E329" s="1" t="s">
        <v>250</v>
      </c>
      <c r="F329" s="1" t="s">
        <v>16</v>
      </c>
      <c r="G329" s="1" t="s">
        <v>163</v>
      </c>
      <c r="H329" s="1">
        <v>50.7</v>
      </c>
      <c r="I329" s="1">
        <v>19.7</v>
      </c>
      <c r="J329" s="1">
        <v>203.0</v>
      </c>
      <c r="K329" s="1">
        <v>4050.0</v>
      </c>
      <c r="L329" s="1" t="s">
        <v>18</v>
      </c>
    </row>
    <row r="330" ht="14.25" customHeight="1">
      <c r="A330" s="1" t="s">
        <v>124</v>
      </c>
      <c r="B330" s="1">
        <v>55.0</v>
      </c>
      <c r="C330" s="1" t="s">
        <v>219</v>
      </c>
      <c r="D330" s="1" t="s">
        <v>56</v>
      </c>
      <c r="E330" s="1" t="s">
        <v>251</v>
      </c>
      <c r="F330" s="1" t="s">
        <v>16</v>
      </c>
      <c r="G330" s="1" t="s">
        <v>216</v>
      </c>
      <c r="H330" s="1">
        <v>42.5</v>
      </c>
      <c r="I330" s="1">
        <v>17.3</v>
      </c>
      <c r="J330" s="1">
        <v>187.0</v>
      </c>
      <c r="K330" s="1">
        <v>3350.0</v>
      </c>
      <c r="L330" s="1" t="s">
        <v>20</v>
      </c>
    </row>
    <row r="331" ht="14.25" customHeight="1">
      <c r="A331" s="1" t="s">
        <v>124</v>
      </c>
      <c r="B331" s="1">
        <v>56.0</v>
      </c>
      <c r="C331" s="1" t="s">
        <v>219</v>
      </c>
      <c r="D331" s="1" t="s">
        <v>56</v>
      </c>
      <c r="E331" s="1" t="s">
        <v>252</v>
      </c>
      <c r="F331" s="1" t="s">
        <v>16</v>
      </c>
      <c r="G331" s="1" t="s">
        <v>216</v>
      </c>
      <c r="H331" s="1">
        <v>52.2</v>
      </c>
      <c r="I331" s="1">
        <v>18.8</v>
      </c>
      <c r="J331" s="1">
        <v>197.0</v>
      </c>
      <c r="K331" s="1">
        <v>3450.0</v>
      </c>
      <c r="L331" s="1" t="s">
        <v>18</v>
      </c>
    </row>
    <row r="332" ht="14.25" customHeight="1">
      <c r="A332" s="1" t="s">
        <v>124</v>
      </c>
      <c r="B332" s="1">
        <v>57.0</v>
      </c>
      <c r="C332" s="1" t="s">
        <v>219</v>
      </c>
      <c r="D332" s="1" t="s">
        <v>56</v>
      </c>
      <c r="E332" s="1" t="s">
        <v>253</v>
      </c>
      <c r="F332" s="1" t="s">
        <v>16</v>
      </c>
      <c r="G332" s="1" t="s">
        <v>158</v>
      </c>
      <c r="H332" s="1">
        <v>45.2</v>
      </c>
      <c r="I332" s="1">
        <v>16.6</v>
      </c>
      <c r="J332" s="1">
        <v>191.0</v>
      </c>
      <c r="K332" s="1">
        <v>3250.0</v>
      </c>
      <c r="L332" s="1" t="s">
        <v>20</v>
      </c>
    </row>
    <row r="333" ht="14.25" customHeight="1">
      <c r="A333" s="1" t="s">
        <v>124</v>
      </c>
      <c r="B333" s="1">
        <v>58.0</v>
      </c>
      <c r="C333" s="1" t="s">
        <v>219</v>
      </c>
      <c r="D333" s="1" t="s">
        <v>56</v>
      </c>
      <c r="E333" s="1" t="s">
        <v>254</v>
      </c>
      <c r="F333" s="1" t="s">
        <v>16</v>
      </c>
      <c r="G333" s="1" t="s">
        <v>158</v>
      </c>
      <c r="H333" s="1">
        <v>49.3</v>
      </c>
      <c r="I333" s="1">
        <v>19.9</v>
      </c>
      <c r="J333" s="1">
        <v>203.0</v>
      </c>
      <c r="K333" s="1">
        <v>4050.0</v>
      </c>
      <c r="L333" s="1" t="s">
        <v>18</v>
      </c>
    </row>
    <row r="334" ht="14.25" customHeight="1">
      <c r="A334" s="1" t="s">
        <v>124</v>
      </c>
      <c r="B334" s="1">
        <v>59.0</v>
      </c>
      <c r="C334" s="1" t="s">
        <v>219</v>
      </c>
      <c r="D334" s="1" t="s">
        <v>56</v>
      </c>
      <c r="E334" s="1" t="s">
        <v>255</v>
      </c>
      <c r="F334" s="1" t="s">
        <v>16</v>
      </c>
      <c r="G334" s="1" t="s">
        <v>158</v>
      </c>
      <c r="H334" s="1">
        <v>50.2</v>
      </c>
      <c r="I334" s="1">
        <v>18.8</v>
      </c>
      <c r="J334" s="1">
        <v>202.0</v>
      </c>
      <c r="K334" s="1">
        <v>3800.0</v>
      </c>
      <c r="L334" s="1" t="s">
        <v>18</v>
      </c>
    </row>
    <row r="335" ht="14.25" customHeight="1">
      <c r="A335" s="1" t="s">
        <v>124</v>
      </c>
      <c r="B335" s="1">
        <v>60.0</v>
      </c>
      <c r="C335" s="1" t="s">
        <v>219</v>
      </c>
      <c r="D335" s="1" t="s">
        <v>56</v>
      </c>
      <c r="E335" s="1" t="s">
        <v>256</v>
      </c>
      <c r="F335" s="1" t="s">
        <v>16</v>
      </c>
      <c r="G335" s="1" t="s">
        <v>158</v>
      </c>
      <c r="H335" s="1">
        <v>45.6</v>
      </c>
      <c r="I335" s="1">
        <v>19.4</v>
      </c>
      <c r="J335" s="1">
        <v>194.0</v>
      </c>
      <c r="K335" s="1">
        <v>3525.0</v>
      </c>
      <c r="L335" s="1" t="s">
        <v>20</v>
      </c>
    </row>
    <row r="336" ht="14.25" customHeight="1">
      <c r="A336" s="1" t="s">
        <v>124</v>
      </c>
      <c r="B336" s="1">
        <v>61.0</v>
      </c>
      <c r="C336" s="1" t="s">
        <v>219</v>
      </c>
      <c r="D336" s="1" t="s">
        <v>56</v>
      </c>
      <c r="E336" s="1" t="s">
        <v>257</v>
      </c>
      <c r="F336" s="1" t="s">
        <v>16</v>
      </c>
      <c r="G336" s="1" t="s">
        <v>216</v>
      </c>
      <c r="H336" s="1">
        <v>51.9</v>
      </c>
      <c r="I336" s="1">
        <v>19.5</v>
      </c>
      <c r="J336" s="1">
        <v>206.0</v>
      </c>
      <c r="K336" s="1">
        <v>3950.0</v>
      </c>
      <c r="L336" s="1" t="s">
        <v>18</v>
      </c>
    </row>
    <row r="337" ht="14.25" customHeight="1">
      <c r="A337" s="1" t="s">
        <v>124</v>
      </c>
      <c r="B337" s="1">
        <v>62.0</v>
      </c>
      <c r="C337" s="1" t="s">
        <v>219</v>
      </c>
      <c r="D337" s="1" t="s">
        <v>56</v>
      </c>
      <c r="E337" s="1" t="s">
        <v>258</v>
      </c>
      <c r="F337" s="1" t="s">
        <v>16</v>
      </c>
      <c r="G337" s="1" t="s">
        <v>216</v>
      </c>
      <c r="H337" s="1">
        <v>46.8</v>
      </c>
      <c r="I337" s="1">
        <v>16.5</v>
      </c>
      <c r="J337" s="1">
        <v>189.0</v>
      </c>
      <c r="K337" s="1">
        <v>3650.0</v>
      </c>
      <c r="L337" s="1" t="s">
        <v>20</v>
      </c>
    </row>
    <row r="338" ht="14.25" customHeight="1">
      <c r="A338" s="1" t="s">
        <v>124</v>
      </c>
      <c r="B338" s="1">
        <v>63.0</v>
      </c>
      <c r="C338" s="1" t="s">
        <v>219</v>
      </c>
      <c r="D338" s="1" t="s">
        <v>56</v>
      </c>
      <c r="E338" s="1" t="s">
        <v>259</v>
      </c>
      <c r="F338" s="1" t="s">
        <v>16</v>
      </c>
      <c r="G338" s="1" t="s">
        <v>260</v>
      </c>
      <c r="H338" s="1">
        <v>45.7</v>
      </c>
      <c r="I338" s="1">
        <v>17.0</v>
      </c>
      <c r="J338" s="1">
        <v>195.0</v>
      </c>
      <c r="K338" s="1">
        <v>3650.0</v>
      </c>
      <c r="L338" s="1" t="s">
        <v>20</v>
      </c>
    </row>
    <row r="339" ht="14.25" customHeight="1">
      <c r="A339" s="1" t="s">
        <v>124</v>
      </c>
      <c r="B339" s="1">
        <v>64.0</v>
      </c>
      <c r="C339" s="1" t="s">
        <v>219</v>
      </c>
      <c r="D339" s="1" t="s">
        <v>56</v>
      </c>
      <c r="E339" s="1" t="s">
        <v>261</v>
      </c>
      <c r="F339" s="1" t="s">
        <v>16</v>
      </c>
      <c r="G339" s="1" t="s">
        <v>260</v>
      </c>
      <c r="H339" s="1">
        <v>55.8</v>
      </c>
      <c r="I339" s="1">
        <v>19.8</v>
      </c>
      <c r="J339" s="1">
        <v>207.0</v>
      </c>
      <c r="K339" s="1">
        <v>4000.0</v>
      </c>
      <c r="L339" s="1" t="s">
        <v>18</v>
      </c>
    </row>
    <row r="340" ht="14.25" customHeight="1">
      <c r="A340" s="1" t="s">
        <v>124</v>
      </c>
      <c r="B340" s="1">
        <v>65.0</v>
      </c>
      <c r="C340" s="1" t="s">
        <v>219</v>
      </c>
      <c r="D340" s="1" t="s">
        <v>56</v>
      </c>
      <c r="E340" s="1" t="s">
        <v>262</v>
      </c>
      <c r="F340" s="1" t="s">
        <v>26</v>
      </c>
      <c r="G340" s="1" t="s">
        <v>158</v>
      </c>
      <c r="H340" s="1">
        <v>43.5</v>
      </c>
      <c r="I340" s="1">
        <v>18.1</v>
      </c>
      <c r="J340" s="1">
        <v>202.0</v>
      </c>
      <c r="K340" s="1">
        <v>3400.0</v>
      </c>
      <c r="L340" s="1" t="s">
        <v>20</v>
      </c>
    </row>
    <row r="341" ht="14.25" customHeight="1">
      <c r="A341" s="1" t="s">
        <v>124</v>
      </c>
      <c r="B341" s="1">
        <v>66.0</v>
      </c>
      <c r="C341" s="1" t="s">
        <v>219</v>
      </c>
      <c r="D341" s="1" t="s">
        <v>56</v>
      </c>
      <c r="E341" s="1" t="s">
        <v>263</v>
      </c>
      <c r="F341" s="1" t="s">
        <v>26</v>
      </c>
      <c r="G341" s="1" t="s">
        <v>158</v>
      </c>
      <c r="H341" s="1">
        <v>49.6</v>
      </c>
      <c r="I341" s="1">
        <v>18.2</v>
      </c>
      <c r="J341" s="1">
        <v>193.0</v>
      </c>
      <c r="K341" s="1">
        <v>3775.0</v>
      </c>
      <c r="L341" s="1" t="s">
        <v>18</v>
      </c>
    </row>
    <row r="342" ht="14.25" customHeight="1">
      <c r="A342" s="1" t="s">
        <v>124</v>
      </c>
      <c r="B342" s="1">
        <v>67.0</v>
      </c>
      <c r="C342" s="1" t="s">
        <v>219</v>
      </c>
      <c r="D342" s="1" t="s">
        <v>56</v>
      </c>
      <c r="E342" s="1" t="s">
        <v>264</v>
      </c>
      <c r="F342" s="1" t="s">
        <v>16</v>
      </c>
      <c r="G342" s="1" t="s">
        <v>158</v>
      </c>
      <c r="H342" s="1">
        <v>50.8</v>
      </c>
      <c r="I342" s="1">
        <v>19.0</v>
      </c>
      <c r="J342" s="1">
        <v>210.0</v>
      </c>
      <c r="K342" s="1">
        <v>4100.0</v>
      </c>
      <c r="L342" s="1" t="s">
        <v>18</v>
      </c>
    </row>
    <row r="343" ht="14.25" customHeight="1">
      <c r="A343" s="1" t="s">
        <v>124</v>
      </c>
      <c r="B343" s="1">
        <v>68.0</v>
      </c>
      <c r="C343" s="1" t="s">
        <v>219</v>
      </c>
      <c r="D343" s="1" t="s">
        <v>56</v>
      </c>
      <c r="E343" s="1" t="s">
        <v>265</v>
      </c>
      <c r="F343" s="1" t="s">
        <v>16</v>
      </c>
      <c r="G343" s="1" t="s">
        <v>158</v>
      </c>
      <c r="H343" s="1">
        <v>50.2</v>
      </c>
      <c r="I343" s="1">
        <v>18.7</v>
      </c>
      <c r="J343" s="1">
        <v>198.0</v>
      </c>
      <c r="K343" s="1">
        <v>3775.0</v>
      </c>
      <c r="L343" s="1" t="s">
        <v>20</v>
      </c>
    </row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71"/>
    <col customWidth="1" min="2" max="2" width="16.29"/>
    <col customWidth="1" min="3" max="3" width="14.86"/>
    <col customWidth="1" min="4" max="4" width="16.29"/>
    <col customWidth="1" min="5" max="5" width="21.43"/>
    <col customWidth="1" min="6" max="6" width="27.29"/>
    <col customWidth="1" min="7" max="7" width="18.29"/>
    <col customWidth="1" min="8" max="8" width="29.71"/>
    <col customWidth="1" min="9" max="10" width="28.86"/>
    <col customWidth="1" min="11" max="11" width="23.43"/>
    <col customWidth="1" min="12" max="12" width="14.71"/>
  </cols>
  <sheetData>
    <row r="1" ht="22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266</v>
      </c>
      <c r="I1" s="2" t="s">
        <v>267</v>
      </c>
      <c r="J1" s="2" t="s">
        <v>268</v>
      </c>
      <c r="K1" s="2" t="s">
        <v>269</v>
      </c>
      <c r="L1" s="2" t="s">
        <v>11</v>
      </c>
    </row>
    <row r="2" ht="22.5" hidden="1" customHeight="1">
      <c r="A2" s="3" t="s">
        <v>12</v>
      </c>
      <c r="B2" s="4">
        <v>9.0</v>
      </c>
      <c r="C2" s="5" t="s">
        <v>270</v>
      </c>
      <c r="D2" s="3" t="s">
        <v>14</v>
      </c>
      <c r="E2" s="3" t="s">
        <v>29</v>
      </c>
      <c r="F2" s="3" t="s">
        <v>16</v>
      </c>
      <c r="G2" s="3" t="s">
        <v>30</v>
      </c>
      <c r="H2" s="4">
        <v>34.1</v>
      </c>
      <c r="I2" s="4">
        <v>18.1</v>
      </c>
      <c r="J2" s="4">
        <v>193.0</v>
      </c>
      <c r="K2" s="4">
        <v>3475.0</v>
      </c>
      <c r="L2" s="3" t="s">
        <v>31</v>
      </c>
    </row>
    <row r="3" ht="22.5" hidden="1" customHeight="1">
      <c r="A3" s="3" t="s">
        <v>12</v>
      </c>
      <c r="B3" s="4">
        <v>10.0</v>
      </c>
      <c r="C3" s="5" t="s">
        <v>270</v>
      </c>
      <c r="D3" s="3" t="s">
        <v>14</v>
      </c>
      <c r="E3" s="3" t="s">
        <v>32</v>
      </c>
      <c r="F3" s="3" t="s">
        <v>16</v>
      </c>
      <c r="G3" s="3" t="s">
        <v>30</v>
      </c>
      <c r="H3" s="4">
        <v>42.0</v>
      </c>
      <c r="I3" s="4">
        <v>20.2</v>
      </c>
      <c r="J3" s="4">
        <v>190.0</v>
      </c>
      <c r="K3" s="4">
        <v>4250.0</v>
      </c>
      <c r="L3" s="3" t="s">
        <v>31</v>
      </c>
    </row>
    <row r="4" ht="22.5" hidden="1" customHeight="1">
      <c r="A4" s="3" t="s">
        <v>12</v>
      </c>
      <c r="B4" s="4">
        <v>11.0</v>
      </c>
      <c r="C4" s="5" t="s">
        <v>270</v>
      </c>
      <c r="D4" s="3" t="s">
        <v>14</v>
      </c>
      <c r="E4" s="3" t="s">
        <v>33</v>
      </c>
      <c r="F4" s="3" t="s">
        <v>16</v>
      </c>
      <c r="G4" s="3" t="s">
        <v>30</v>
      </c>
      <c r="H4" s="4">
        <v>37.8</v>
      </c>
      <c r="I4" s="4">
        <v>17.1</v>
      </c>
      <c r="J4" s="4">
        <v>186.0</v>
      </c>
      <c r="K4" s="4">
        <v>3300.0</v>
      </c>
      <c r="L4" s="3" t="s">
        <v>31</v>
      </c>
    </row>
    <row r="5" ht="22.5" hidden="1" customHeight="1">
      <c r="A5" s="3" t="s">
        <v>12</v>
      </c>
      <c r="B5" s="4">
        <v>12.0</v>
      </c>
      <c r="C5" s="5" t="s">
        <v>270</v>
      </c>
      <c r="D5" s="3" t="s">
        <v>14</v>
      </c>
      <c r="E5" s="3" t="s">
        <v>34</v>
      </c>
      <c r="F5" s="3" t="s">
        <v>16</v>
      </c>
      <c r="G5" s="3" t="s">
        <v>30</v>
      </c>
      <c r="H5" s="4">
        <v>37.8</v>
      </c>
      <c r="I5" s="4">
        <v>17.3</v>
      </c>
      <c r="J5" s="4">
        <v>180.0</v>
      </c>
      <c r="K5" s="4">
        <v>3700.0</v>
      </c>
      <c r="L5" s="3" t="s">
        <v>31</v>
      </c>
    </row>
    <row r="6" ht="22.5" hidden="1" customHeight="1">
      <c r="A6" s="3" t="s">
        <v>12</v>
      </c>
      <c r="B6" s="4">
        <v>31.0</v>
      </c>
      <c r="C6" s="5" t="s">
        <v>270</v>
      </c>
      <c r="D6" s="3" t="s">
        <v>56</v>
      </c>
      <c r="E6" s="3" t="s">
        <v>57</v>
      </c>
      <c r="F6" s="3" t="s">
        <v>16</v>
      </c>
      <c r="G6" s="3" t="s">
        <v>30</v>
      </c>
      <c r="H6" s="4">
        <v>39.5</v>
      </c>
      <c r="I6" s="4">
        <v>16.7</v>
      </c>
      <c r="J6" s="4">
        <v>178.0</v>
      </c>
      <c r="K6" s="4">
        <v>3250.0</v>
      </c>
      <c r="L6" s="3" t="s">
        <v>20</v>
      </c>
    </row>
    <row r="7" ht="22.5" hidden="1" customHeight="1">
      <c r="A7" s="3" t="s">
        <v>12</v>
      </c>
      <c r="B7" s="4">
        <v>32.0</v>
      </c>
      <c r="C7" s="5" t="s">
        <v>270</v>
      </c>
      <c r="D7" s="3" t="s">
        <v>56</v>
      </c>
      <c r="E7" s="3" t="s">
        <v>58</v>
      </c>
      <c r="F7" s="3" t="s">
        <v>16</v>
      </c>
      <c r="G7" s="3" t="s">
        <v>30</v>
      </c>
      <c r="H7" s="4">
        <v>37.2</v>
      </c>
      <c r="I7" s="4">
        <v>18.1</v>
      </c>
      <c r="J7" s="4">
        <v>178.0</v>
      </c>
      <c r="K7" s="4">
        <v>3900.0</v>
      </c>
      <c r="L7" s="3" t="s">
        <v>18</v>
      </c>
    </row>
    <row r="8" ht="22.5" hidden="1" customHeight="1">
      <c r="A8" s="3" t="s">
        <v>12</v>
      </c>
      <c r="B8" s="4">
        <v>33.0</v>
      </c>
      <c r="C8" s="5" t="s">
        <v>270</v>
      </c>
      <c r="D8" s="3" t="s">
        <v>56</v>
      </c>
      <c r="E8" s="3" t="s">
        <v>59</v>
      </c>
      <c r="F8" s="3" t="s">
        <v>16</v>
      </c>
      <c r="G8" s="3" t="s">
        <v>30</v>
      </c>
      <c r="H8" s="4">
        <v>39.5</v>
      </c>
      <c r="I8" s="4">
        <v>17.8</v>
      </c>
      <c r="J8" s="4">
        <v>188.0</v>
      </c>
      <c r="K8" s="4">
        <v>3300.0</v>
      </c>
      <c r="L8" s="3" t="s">
        <v>20</v>
      </c>
    </row>
    <row r="9" ht="22.5" hidden="1" customHeight="1">
      <c r="A9" s="3" t="s">
        <v>12</v>
      </c>
      <c r="B9" s="4">
        <v>34.0</v>
      </c>
      <c r="C9" s="5" t="s">
        <v>270</v>
      </c>
      <c r="D9" s="3" t="s">
        <v>56</v>
      </c>
      <c r="E9" s="3" t="s">
        <v>60</v>
      </c>
      <c r="F9" s="3" t="s">
        <v>16</v>
      </c>
      <c r="G9" s="3" t="s">
        <v>30</v>
      </c>
      <c r="H9" s="4">
        <v>40.9</v>
      </c>
      <c r="I9" s="4">
        <v>18.9</v>
      </c>
      <c r="J9" s="4">
        <v>184.0</v>
      </c>
      <c r="K9" s="4">
        <v>3900.0</v>
      </c>
      <c r="L9" s="3" t="s">
        <v>18</v>
      </c>
    </row>
    <row r="10" ht="22.5" hidden="1" customHeight="1">
      <c r="A10" s="3" t="s">
        <v>12</v>
      </c>
      <c r="B10" s="4">
        <v>25.0</v>
      </c>
      <c r="C10" s="5" t="s">
        <v>270</v>
      </c>
      <c r="D10" s="3" t="s">
        <v>44</v>
      </c>
      <c r="E10" s="3" t="s">
        <v>49</v>
      </c>
      <c r="F10" s="3" t="s">
        <v>16</v>
      </c>
      <c r="G10" s="3" t="s">
        <v>50</v>
      </c>
      <c r="H10" s="4">
        <v>38.8</v>
      </c>
      <c r="I10" s="4">
        <v>17.2</v>
      </c>
      <c r="J10" s="4">
        <v>180.0</v>
      </c>
      <c r="K10" s="4">
        <v>3800.0</v>
      </c>
      <c r="L10" s="3" t="s">
        <v>18</v>
      </c>
    </row>
    <row r="11" ht="22.5" hidden="1" customHeight="1">
      <c r="A11" s="3" t="s">
        <v>12</v>
      </c>
      <c r="B11" s="4">
        <v>26.0</v>
      </c>
      <c r="C11" s="5" t="s">
        <v>270</v>
      </c>
      <c r="D11" s="3" t="s">
        <v>44</v>
      </c>
      <c r="E11" s="3" t="s">
        <v>51</v>
      </c>
      <c r="F11" s="3" t="s">
        <v>16</v>
      </c>
      <c r="G11" s="3" t="s">
        <v>50</v>
      </c>
      <c r="H11" s="4">
        <v>35.3</v>
      </c>
      <c r="I11" s="4">
        <v>18.9</v>
      </c>
      <c r="J11" s="4">
        <v>187.0</v>
      </c>
      <c r="K11" s="4">
        <v>3800.0</v>
      </c>
      <c r="L11" s="3" t="s">
        <v>20</v>
      </c>
    </row>
    <row r="12" ht="22.5" hidden="1" customHeight="1">
      <c r="A12" s="3" t="s">
        <v>12</v>
      </c>
      <c r="B12" s="4">
        <v>29.0</v>
      </c>
      <c r="C12" s="5" t="s">
        <v>270</v>
      </c>
      <c r="D12" s="3" t="s">
        <v>44</v>
      </c>
      <c r="E12" s="3" t="s">
        <v>54</v>
      </c>
      <c r="F12" s="3" t="s">
        <v>26</v>
      </c>
      <c r="G12" s="3" t="s">
        <v>50</v>
      </c>
      <c r="H12" s="4">
        <v>37.9</v>
      </c>
      <c r="I12" s="4">
        <v>18.6</v>
      </c>
      <c r="J12" s="4">
        <v>172.0</v>
      </c>
      <c r="K12" s="4">
        <v>3150.0</v>
      </c>
      <c r="L12" s="3" t="s">
        <v>20</v>
      </c>
    </row>
    <row r="13" ht="22.5" hidden="1" customHeight="1">
      <c r="A13" s="3" t="s">
        <v>12</v>
      </c>
      <c r="B13" s="4">
        <v>30.0</v>
      </c>
      <c r="C13" s="5" t="s">
        <v>270</v>
      </c>
      <c r="D13" s="3" t="s">
        <v>44</v>
      </c>
      <c r="E13" s="3" t="s">
        <v>55</v>
      </c>
      <c r="F13" s="3" t="s">
        <v>26</v>
      </c>
      <c r="G13" s="3" t="s">
        <v>50</v>
      </c>
      <c r="H13" s="4">
        <v>40.5</v>
      </c>
      <c r="I13" s="4">
        <v>18.9</v>
      </c>
      <c r="J13" s="4">
        <v>180.0</v>
      </c>
      <c r="K13" s="4">
        <v>3950.0</v>
      </c>
      <c r="L13" s="3" t="s">
        <v>18</v>
      </c>
    </row>
    <row r="14" ht="22.5" hidden="1" customHeight="1">
      <c r="A14" s="3" t="s">
        <v>12</v>
      </c>
      <c r="B14" s="4">
        <v>1.0</v>
      </c>
      <c r="C14" s="5" t="s">
        <v>270</v>
      </c>
      <c r="D14" s="3" t="s">
        <v>14</v>
      </c>
      <c r="E14" s="3" t="s">
        <v>15</v>
      </c>
      <c r="F14" s="3" t="s">
        <v>16</v>
      </c>
      <c r="G14" s="3" t="s">
        <v>17</v>
      </c>
      <c r="H14" s="4">
        <v>39.1</v>
      </c>
      <c r="I14" s="4">
        <v>18.7</v>
      </c>
      <c r="J14" s="4">
        <v>181.0</v>
      </c>
      <c r="K14" s="4">
        <v>3750.0</v>
      </c>
      <c r="L14" s="3" t="s">
        <v>18</v>
      </c>
    </row>
    <row r="15" ht="22.5" hidden="1" customHeight="1">
      <c r="A15" s="3" t="s">
        <v>12</v>
      </c>
      <c r="B15" s="4">
        <v>2.0</v>
      </c>
      <c r="C15" s="5" t="s">
        <v>270</v>
      </c>
      <c r="D15" s="3" t="s">
        <v>14</v>
      </c>
      <c r="E15" s="3" t="s">
        <v>19</v>
      </c>
      <c r="F15" s="3" t="s">
        <v>16</v>
      </c>
      <c r="G15" s="3" t="s">
        <v>17</v>
      </c>
      <c r="H15" s="4">
        <v>39.5</v>
      </c>
      <c r="I15" s="4">
        <v>17.4</v>
      </c>
      <c r="J15" s="4">
        <v>186.0</v>
      </c>
      <c r="K15" s="4">
        <v>3800.0</v>
      </c>
      <c r="L15" s="3" t="s">
        <v>20</v>
      </c>
    </row>
    <row r="16" ht="22.5" hidden="1" customHeight="1">
      <c r="A16" s="3" t="s">
        <v>12</v>
      </c>
      <c r="B16" s="4">
        <v>17.0</v>
      </c>
      <c r="C16" s="5" t="s">
        <v>270</v>
      </c>
      <c r="D16" s="3" t="s">
        <v>14</v>
      </c>
      <c r="E16" s="3" t="s">
        <v>39</v>
      </c>
      <c r="F16" s="3" t="s">
        <v>16</v>
      </c>
      <c r="G16" s="3" t="s">
        <v>40</v>
      </c>
      <c r="H16" s="4">
        <v>38.7</v>
      </c>
      <c r="I16" s="4">
        <v>19.0</v>
      </c>
      <c r="J16" s="4">
        <v>195.0</v>
      </c>
      <c r="K16" s="4">
        <v>3450.0</v>
      </c>
      <c r="L16" s="3" t="s">
        <v>20</v>
      </c>
    </row>
    <row r="17" ht="22.5" hidden="1" customHeight="1">
      <c r="A17" s="3" t="s">
        <v>12</v>
      </c>
      <c r="B17" s="4">
        <v>18.0</v>
      </c>
      <c r="C17" s="5" t="s">
        <v>270</v>
      </c>
      <c r="D17" s="3" t="s">
        <v>14</v>
      </c>
      <c r="E17" s="3" t="s">
        <v>41</v>
      </c>
      <c r="F17" s="3" t="s">
        <v>16</v>
      </c>
      <c r="G17" s="3" t="s">
        <v>40</v>
      </c>
      <c r="H17" s="4">
        <v>42.5</v>
      </c>
      <c r="I17" s="4">
        <v>20.7</v>
      </c>
      <c r="J17" s="4">
        <v>197.0</v>
      </c>
      <c r="K17" s="4">
        <v>4500.0</v>
      </c>
      <c r="L17" s="3" t="s">
        <v>18</v>
      </c>
    </row>
    <row r="18" ht="22.5" hidden="1" customHeight="1">
      <c r="A18" s="3" t="s">
        <v>12</v>
      </c>
      <c r="B18" s="4">
        <v>21.0</v>
      </c>
      <c r="C18" s="5" t="s">
        <v>270</v>
      </c>
      <c r="D18" s="3" t="s">
        <v>44</v>
      </c>
      <c r="E18" s="3" t="s">
        <v>45</v>
      </c>
      <c r="F18" s="3" t="s">
        <v>16</v>
      </c>
      <c r="G18" s="3" t="s">
        <v>40</v>
      </c>
      <c r="H18" s="4">
        <v>37.8</v>
      </c>
      <c r="I18" s="4">
        <v>18.3</v>
      </c>
      <c r="J18" s="4">
        <v>174.0</v>
      </c>
      <c r="K18" s="4">
        <v>3400.0</v>
      </c>
      <c r="L18" s="3" t="s">
        <v>20</v>
      </c>
    </row>
    <row r="19" ht="22.5" hidden="1" customHeight="1">
      <c r="A19" s="3" t="s">
        <v>12</v>
      </c>
      <c r="B19" s="4">
        <v>22.0</v>
      </c>
      <c r="C19" s="5" t="s">
        <v>270</v>
      </c>
      <c r="D19" s="3" t="s">
        <v>44</v>
      </c>
      <c r="E19" s="3" t="s">
        <v>46</v>
      </c>
      <c r="F19" s="3" t="s">
        <v>16</v>
      </c>
      <c r="G19" s="3" t="s">
        <v>40</v>
      </c>
      <c r="H19" s="4">
        <v>37.7</v>
      </c>
      <c r="I19" s="4">
        <v>18.7</v>
      </c>
      <c r="J19" s="4">
        <v>180.0</v>
      </c>
      <c r="K19" s="4">
        <v>3600.0</v>
      </c>
      <c r="L19" s="3" t="s">
        <v>18</v>
      </c>
    </row>
    <row r="20" ht="22.5" hidden="1" customHeight="1">
      <c r="A20" s="3" t="s">
        <v>12</v>
      </c>
      <c r="B20" s="4">
        <v>23.0</v>
      </c>
      <c r="C20" s="5" t="s">
        <v>270</v>
      </c>
      <c r="D20" s="3" t="s">
        <v>44</v>
      </c>
      <c r="E20" s="3" t="s">
        <v>47</v>
      </c>
      <c r="F20" s="3" t="s">
        <v>16</v>
      </c>
      <c r="G20" s="3" t="s">
        <v>40</v>
      </c>
      <c r="H20" s="4">
        <v>35.9</v>
      </c>
      <c r="I20" s="4">
        <v>19.2</v>
      </c>
      <c r="J20" s="4">
        <v>189.0</v>
      </c>
      <c r="K20" s="4">
        <v>3800.0</v>
      </c>
      <c r="L20" s="3" t="s">
        <v>20</v>
      </c>
    </row>
    <row r="21" ht="22.5" hidden="1" customHeight="1">
      <c r="A21" s="3" t="s">
        <v>12</v>
      </c>
      <c r="B21" s="4">
        <v>24.0</v>
      </c>
      <c r="C21" s="5" t="s">
        <v>270</v>
      </c>
      <c r="D21" s="3" t="s">
        <v>44</v>
      </c>
      <c r="E21" s="3" t="s">
        <v>48</v>
      </c>
      <c r="F21" s="3" t="s">
        <v>16</v>
      </c>
      <c r="G21" s="3" t="s">
        <v>40</v>
      </c>
      <c r="H21" s="4">
        <v>38.2</v>
      </c>
      <c r="I21" s="4">
        <v>18.1</v>
      </c>
      <c r="J21" s="4">
        <v>185.0</v>
      </c>
      <c r="K21" s="4">
        <v>3950.0</v>
      </c>
      <c r="L21" s="3" t="s">
        <v>18</v>
      </c>
    </row>
    <row r="22" ht="22.5" hidden="1" customHeight="1">
      <c r="A22" s="3" t="s">
        <v>12</v>
      </c>
      <c r="B22" s="4">
        <v>27.0</v>
      </c>
      <c r="C22" s="5" t="s">
        <v>270</v>
      </c>
      <c r="D22" s="3" t="s">
        <v>44</v>
      </c>
      <c r="E22" s="3" t="s">
        <v>52</v>
      </c>
      <c r="F22" s="3" t="s">
        <v>16</v>
      </c>
      <c r="G22" s="3" t="s">
        <v>40</v>
      </c>
      <c r="H22" s="4">
        <v>40.6</v>
      </c>
      <c r="I22" s="4">
        <v>18.6</v>
      </c>
      <c r="J22" s="4">
        <v>183.0</v>
      </c>
      <c r="K22" s="4">
        <v>3550.0</v>
      </c>
      <c r="L22" s="3" t="s">
        <v>18</v>
      </c>
    </row>
    <row r="23" ht="22.5" hidden="1" customHeight="1">
      <c r="A23" s="3" t="s">
        <v>12</v>
      </c>
      <c r="B23" s="4">
        <v>28.0</v>
      </c>
      <c r="C23" s="5" t="s">
        <v>270</v>
      </c>
      <c r="D23" s="3" t="s">
        <v>44</v>
      </c>
      <c r="E23" s="3" t="s">
        <v>53</v>
      </c>
      <c r="F23" s="3" t="s">
        <v>16</v>
      </c>
      <c r="G23" s="3" t="s">
        <v>40</v>
      </c>
      <c r="H23" s="4">
        <v>40.5</v>
      </c>
      <c r="I23" s="4">
        <v>17.9</v>
      </c>
      <c r="J23" s="4">
        <v>187.0</v>
      </c>
      <c r="K23" s="4">
        <v>3200.0</v>
      </c>
      <c r="L23" s="3" t="s">
        <v>20</v>
      </c>
    </row>
    <row r="24" ht="22.5" hidden="1" customHeight="1">
      <c r="A24" s="3" t="s">
        <v>12</v>
      </c>
      <c r="B24" s="4">
        <v>39.0</v>
      </c>
      <c r="C24" s="5" t="s">
        <v>270</v>
      </c>
      <c r="D24" s="3" t="s">
        <v>56</v>
      </c>
      <c r="E24" s="3" t="s">
        <v>65</v>
      </c>
      <c r="F24" s="3" t="s">
        <v>26</v>
      </c>
      <c r="G24" s="3" t="s">
        <v>66</v>
      </c>
      <c r="H24" s="4">
        <v>37.6</v>
      </c>
      <c r="I24" s="4">
        <v>19.3</v>
      </c>
      <c r="J24" s="4">
        <v>181.0</v>
      </c>
      <c r="K24" s="4">
        <v>3300.0</v>
      </c>
      <c r="L24" s="3" t="s">
        <v>20</v>
      </c>
    </row>
    <row r="25" ht="22.5" hidden="1" customHeight="1">
      <c r="A25" s="3" t="s">
        <v>12</v>
      </c>
      <c r="B25" s="4">
        <v>40.0</v>
      </c>
      <c r="C25" s="5" t="s">
        <v>270</v>
      </c>
      <c r="D25" s="3" t="s">
        <v>56</v>
      </c>
      <c r="E25" s="3" t="s">
        <v>67</v>
      </c>
      <c r="F25" s="3" t="s">
        <v>26</v>
      </c>
      <c r="G25" s="3" t="s">
        <v>66</v>
      </c>
      <c r="H25" s="4">
        <v>39.8</v>
      </c>
      <c r="I25" s="4">
        <v>19.1</v>
      </c>
      <c r="J25" s="4">
        <v>184.0</v>
      </c>
      <c r="K25" s="4">
        <v>4650.0</v>
      </c>
      <c r="L25" s="3" t="s">
        <v>18</v>
      </c>
    </row>
    <row r="26" ht="22.5" hidden="1" customHeight="1">
      <c r="A26" s="3" t="s">
        <v>12</v>
      </c>
      <c r="B26" s="4">
        <v>47.0</v>
      </c>
      <c r="C26" s="5" t="s">
        <v>270</v>
      </c>
      <c r="D26" s="3" t="s">
        <v>56</v>
      </c>
      <c r="E26" s="3" t="s">
        <v>75</v>
      </c>
      <c r="F26" s="3" t="s">
        <v>16</v>
      </c>
      <c r="G26" s="3" t="s">
        <v>66</v>
      </c>
      <c r="H26" s="4">
        <v>41.1</v>
      </c>
      <c r="I26" s="4">
        <v>19.0</v>
      </c>
      <c r="J26" s="4">
        <v>182.0</v>
      </c>
      <c r="K26" s="4">
        <v>3425.0</v>
      </c>
      <c r="L26" s="3" t="s">
        <v>18</v>
      </c>
    </row>
    <row r="27" ht="22.5" hidden="1" customHeight="1">
      <c r="A27" s="3" t="s">
        <v>12</v>
      </c>
      <c r="B27" s="4">
        <v>48.0</v>
      </c>
      <c r="C27" s="5" t="s">
        <v>270</v>
      </c>
      <c r="D27" s="3" t="s">
        <v>56</v>
      </c>
      <c r="E27" s="3" t="s">
        <v>76</v>
      </c>
      <c r="F27" s="3" t="s">
        <v>16</v>
      </c>
      <c r="G27" s="3" t="s">
        <v>66</v>
      </c>
      <c r="H27" s="4">
        <v>37.5</v>
      </c>
      <c r="I27" s="4">
        <v>18.9</v>
      </c>
      <c r="J27" s="4">
        <v>179.0</v>
      </c>
      <c r="K27" s="4">
        <v>2975.0</v>
      </c>
      <c r="L27" s="3" t="s">
        <v>31</v>
      </c>
    </row>
    <row r="28" ht="22.5" hidden="1" customHeight="1">
      <c r="A28" s="3" t="s">
        <v>12</v>
      </c>
      <c r="B28" s="4">
        <v>49.0</v>
      </c>
      <c r="C28" s="5" t="s">
        <v>270</v>
      </c>
      <c r="D28" s="3" t="s">
        <v>56</v>
      </c>
      <c r="E28" s="3" t="s">
        <v>77</v>
      </c>
      <c r="F28" s="3" t="s">
        <v>16</v>
      </c>
      <c r="G28" s="3" t="s">
        <v>66</v>
      </c>
      <c r="H28" s="4">
        <v>36.0</v>
      </c>
      <c r="I28" s="4">
        <v>17.9</v>
      </c>
      <c r="J28" s="4">
        <v>190.0</v>
      </c>
      <c r="K28" s="4">
        <v>3450.0</v>
      </c>
      <c r="L28" s="3" t="s">
        <v>20</v>
      </c>
    </row>
    <row r="29" ht="22.5" hidden="1" customHeight="1">
      <c r="A29" s="3" t="s">
        <v>12</v>
      </c>
      <c r="B29" s="4">
        <v>50.0</v>
      </c>
      <c r="C29" s="5" t="s">
        <v>270</v>
      </c>
      <c r="D29" s="3" t="s">
        <v>56</v>
      </c>
      <c r="E29" s="3" t="s">
        <v>78</v>
      </c>
      <c r="F29" s="3" t="s">
        <v>16</v>
      </c>
      <c r="G29" s="3" t="s">
        <v>66</v>
      </c>
      <c r="H29" s="4">
        <v>42.3</v>
      </c>
      <c r="I29" s="4">
        <v>21.2</v>
      </c>
      <c r="J29" s="4">
        <v>191.0</v>
      </c>
      <c r="K29" s="4">
        <v>4150.0</v>
      </c>
      <c r="L29" s="3" t="s">
        <v>18</v>
      </c>
    </row>
    <row r="30" ht="22.5" hidden="1" customHeight="1">
      <c r="A30" s="3" t="s">
        <v>12</v>
      </c>
      <c r="B30" s="4">
        <v>7.0</v>
      </c>
      <c r="C30" s="5" t="s">
        <v>270</v>
      </c>
      <c r="D30" s="3" t="s">
        <v>14</v>
      </c>
      <c r="E30" s="3" t="s">
        <v>25</v>
      </c>
      <c r="F30" s="3" t="s">
        <v>26</v>
      </c>
      <c r="G30" s="3" t="s">
        <v>27</v>
      </c>
      <c r="H30" s="4">
        <v>38.9</v>
      </c>
      <c r="I30" s="4">
        <v>17.8</v>
      </c>
      <c r="J30" s="4">
        <v>181.0</v>
      </c>
      <c r="K30" s="4">
        <v>3625.0</v>
      </c>
      <c r="L30" s="3" t="s">
        <v>20</v>
      </c>
    </row>
    <row r="31" ht="22.5" hidden="1" customHeight="1">
      <c r="A31" s="3" t="s">
        <v>12</v>
      </c>
      <c r="B31" s="4">
        <v>8.0</v>
      </c>
      <c r="C31" s="5" t="s">
        <v>270</v>
      </c>
      <c r="D31" s="3" t="s">
        <v>14</v>
      </c>
      <c r="E31" s="3" t="s">
        <v>28</v>
      </c>
      <c r="F31" s="3" t="s">
        <v>26</v>
      </c>
      <c r="G31" s="3" t="s">
        <v>27</v>
      </c>
      <c r="H31" s="4">
        <v>39.2</v>
      </c>
      <c r="I31" s="4">
        <v>19.6</v>
      </c>
      <c r="J31" s="4">
        <v>195.0</v>
      </c>
      <c r="K31" s="4">
        <v>4675.0</v>
      </c>
      <c r="L31" s="3" t="s">
        <v>18</v>
      </c>
    </row>
    <row r="32" ht="22.5" hidden="1" customHeight="1">
      <c r="A32" s="3" t="s">
        <v>12</v>
      </c>
      <c r="B32" s="4">
        <v>13.0</v>
      </c>
      <c r="C32" s="5" t="s">
        <v>270</v>
      </c>
      <c r="D32" s="3" t="s">
        <v>14</v>
      </c>
      <c r="E32" s="3" t="s">
        <v>35</v>
      </c>
      <c r="F32" s="3" t="s">
        <v>16</v>
      </c>
      <c r="G32" s="3" t="s">
        <v>27</v>
      </c>
      <c r="H32" s="4">
        <v>41.1</v>
      </c>
      <c r="I32" s="4">
        <v>17.6</v>
      </c>
      <c r="J32" s="4">
        <v>182.0</v>
      </c>
      <c r="K32" s="4">
        <v>3200.0</v>
      </c>
      <c r="L32" s="3" t="s">
        <v>20</v>
      </c>
    </row>
    <row r="33" ht="22.5" hidden="1" customHeight="1">
      <c r="A33" s="3" t="s">
        <v>12</v>
      </c>
      <c r="B33" s="4">
        <v>14.0</v>
      </c>
      <c r="C33" s="5" t="s">
        <v>270</v>
      </c>
      <c r="D33" s="3" t="s">
        <v>14</v>
      </c>
      <c r="E33" s="3" t="s">
        <v>36</v>
      </c>
      <c r="F33" s="3" t="s">
        <v>16</v>
      </c>
      <c r="G33" s="3" t="s">
        <v>27</v>
      </c>
      <c r="H33" s="4">
        <v>38.6</v>
      </c>
      <c r="I33" s="4">
        <v>21.2</v>
      </c>
      <c r="J33" s="4">
        <v>191.0</v>
      </c>
      <c r="K33" s="4">
        <v>3800.0</v>
      </c>
      <c r="L33" s="3" t="s">
        <v>18</v>
      </c>
    </row>
    <row r="34" ht="22.5" hidden="1" customHeight="1">
      <c r="A34" s="3" t="s">
        <v>12</v>
      </c>
      <c r="B34" s="4">
        <v>3.0</v>
      </c>
      <c r="C34" s="5" t="s">
        <v>270</v>
      </c>
      <c r="D34" s="3" t="s">
        <v>14</v>
      </c>
      <c r="E34" s="3" t="s">
        <v>21</v>
      </c>
      <c r="F34" s="3" t="s">
        <v>16</v>
      </c>
      <c r="G34" s="3" t="s">
        <v>22</v>
      </c>
      <c r="H34" s="4">
        <v>40.3</v>
      </c>
      <c r="I34" s="4">
        <v>18.0</v>
      </c>
      <c r="J34" s="4">
        <v>195.0</v>
      </c>
      <c r="K34" s="4">
        <v>3250.0</v>
      </c>
      <c r="L34" s="3" t="s">
        <v>20</v>
      </c>
    </row>
    <row r="35" ht="22.5" hidden="1" customHeight="1">
      <c r="A35" s="3" t="s">
        <v>12</v>
      </c>
      <c r="B35" s="4">
        <v>5.0</v>
      </c>
      <c r="C35" s="5" t="s">
        <v>270</v>
      </c>
      <c r="D35" s="3" t="s">
        <v>14</v>
      </c>
      <c r="E35" s="3" t="s">
        <v>23</v>
      </c>
      <c r="F35" s="3" t="s">
        <v>16</v>
      </c>
      <c r="G35" s="3" t="s">
        <v>22</v>
      </c>
      <c r="H35" s="4">
        <v>36.7</v>
      </c>
      <c r="I35" s="4">
        <v>19.3</v>
      </c>
      <c r="J35" s="4">
        <v>193.0</v>
      </c>
      <c r="K35" s="4">
        <v>3450.0</v>
      </c>
      <c r="L35" s="3" t="s">
        <v>20</v>
      </c>
    </row>
    <row r="36" ht="22.5" hidden="1" customHeight="1">
      <c r="A36" s="3" t="s">
        <v>12</v>
      </c>
      <c r="B36" s="4">
        <v>6.0</v>
      </c>
      <c r="C36" s="5" t="s">
        <v>270</v>
      </c>
      <c r="D36" s="3" t="s">
        <v>14</v>
      </c>
      <c r="E36" s="3" t="s">
        <v>24</v>
      </c>
      <c r="F36" s="3" t="s">
        <v>16</v>
      </c>
      <c r="G36" s="3" t="s">
        <v>22</v>
      </c>
      <c r="H36" s="4">
        <v>39.3</v>
      </c>
      <c r="I36" s="4">
        <v>20.6</v>
      </c>
      <c r="J36" s="4">
        <v>190.0</v>
      </c>
      <c r="K36" s="4">
        <v>3650.0</v>
      </c>
      <c r="L36" s="3" t="s">
        <v>18</v>
      </c>
    </row>
    <row r="37" ht="22.5" hidden="1" customHeight="1">
      <c r="A37" s="3" t="s">
        <v>12</v>
      </c>
      <c r="B37" s="4">
        <v>15.0</v>
      </c>
      <c r="C37" s="5" t="s">
        <v>270</v>
      </c>
      <c r="D37" s="3" t="s">
        <v>14</v>
      </c>
      <c r="E37" s="3" t="s">
        <v>37</v>
      </c>
      <c r="F37" s="3" t="s">
        <v>16</v>
      </c>
      <c r="G37" s="3" t="s">
        <v>22</v>
      </c>
      <c r="H37" s="4">
        <v>34.6</v>
      </c>
      <c r="I37" s="4">
        <v>21.1</v>
      </c>
      <c r="J37" s="4">
        <v>198.0</v>
      </c>
      <c r="K37" s="4">
        <v>4400.0</v>
      </c>
      <c r="L37" s="3" t="s">
        <v>18</v>
      </c>
    </row>
    <row r="38" ht="22.5" hidden="1" customHeight="1">
      <c r="A38" s="3" t="s">
        <v>12</v>
      </c>
      <c r="B38" s="4">
        <v>16.0</v>
      </c>
      <c r="C38" s="5" t="s">
        <v>270</v>
      </c>
      <c r="D38" s="3" t="s">
        <v>14</v>
      </c>
      <c r="E38" s="3" t="s">
        <v>38</v>
      </c>
      <c r="F38" s="3" t="s">
        <v>16</v>
      </c>
      <c r="G38" s="3" t="s">
        <v>22</v>
      </c>
      <c r="H38" s="4">
        <v>36.6</v>
      </c>
      <c r="I38" s="4">
        <v>17.8</v>
      </c>
      <c r="J38" s="4">
        <v>185.0</v>
      </c>
      <c r="K38" s="4">
        <v>3700.0</v>
      </c>
      <c r="L38" s="3" t="s">
        <v>20</v>
      </c>
    </row>
    <row r="39" ht="22.5" hidden="1" customHeight="1">
      <c r="A39" s="3" t="s">
        <v>12</v>
      </c>
      <c r="B39" s="4">
        <v>19.0</v>
      </c>
      <c r="C39" s="5" t="s">
        <v>270</v>
      </c>
      <c r="D39" s="3" t="s">
        <v>14</v>
      </c>
      <c r="E39" s="3" t="s">
        <v>42</v>
      </c>
      <c r="F39" s="3" t="s">
        <v>16</v>
      </c>
      <c r="G39" s="3" t="s">
        <v>22</v>
      </c>
      <c r="H39" s="4">
        <v>34.4</v>
      </c>
      <c r="I39" s="4">
        <v>18.4</v>
      </c>
      <c r="J39" s="4">
        <v>184.0</v>
      </c>
      <c r="K39" s="4">
        <v>3325.0</v>
      </c>
      <c r="L39" s="3" t="s">
        <v>20</v>
      </c>
    </row>
    <row r="40" ht="22.5" hidden="1" customHeight="1">
      <c r="A40" s="3" t="s">
        <v>12</v>
      </c>
      <c r="B40" s="4">
        <v>20.0</v>
      </c>
      <c r="C40" s="5" t="s">
        <v>270</v>
      </c>
      <c r="D40" s="3" t="s">
        <v>14</v>
      </c>
      <c r="E40" s="3" t="s">
        <v>43</v>
      </c>
      <c r="F40" s="3" t="s">
        <v>16</v>
      </c>
      <c r="G40" s="3" t="s">
        <v>22</v>
      </c>
      <c r="H40" s="4">
        <v>46.0</v>
      </c>
      <c r="I40" s="4">
        <v>21.5</v>
      </c>
      <c r="J40" s="4">
        <v>194.0</v>
      </c>
      <c r="K40" s="4">
        <v>4200.0</v>
      </c>
      <c r="L40" s="3" t="s">
        <v>18</v>
      </c>
    </row>
    <row r="41" ht="22.5" hidden="1" customHeight="1">
      <c r="A41" s="3" t="s">
        <v>12</v>
      </c>
      <c r="B41" s="4">
        <v>35.0</v>
      </c>
      <c r="C41" s="5" t="s">
        <v>270</v>
      </c>
      <c r="D41" s="3" t="s">
        <v>56</v>
      </c>
      <c r="E41" s="3" t="s">
        <v>61</v>
      </c>
      <c r="F41" s="3" t="s">
        <v>16</v>
      </c>
      <c r="G41" s="3" t="s">
        <v>22</v>
      </c>
      <c r="H41" s="4">
        <v>36.4</v>
      </c>
      <c r="I41" s="4">
        <v>17.0</v>
      </c>
      <c r="J41" s="4">
        <v>195.0</v>
      </c>
      <c r="K41" s="4">
        <v>3325.0</v>
      </c>
      <c r="L41" s="3" t="s">
        <v>20</v>
      </c>
    </row>
    <row r="42" ht="22.5" hidden="1" customHeight="1">
      <c r="A42" s="3" t="s">
        <v>12</v>
      </c>
      <c r="B42" s="4">
        <v>36.0</v>
      </c>
      <c r="C42" s="5" t="s">
        <v>270</v>
      </c>
      <c r="D42" s="3" t="s">
        <v>56</v>
      </c>
      <c r="E42" s="3" t="s">
        <v>62</v>
      </c>
      <c r="F42" s="3" t="s">
        <v>16</v>
      </c>
      <c r="G42" s="3" t="s">
        <v>22</v>
      </c>
      <c r="H42" s="4">
        <v>39.2</v>
      </c>
      <c r="I42" s="4">
        <v>21.1</v>
      </c>
      <c r="J42" s="4">
        <v>196.0</v>
      </c>
      <c r="K42" s="4">
        <v>4150.0</v>
      </c>
      <c r="L42" s="3" t="s">
        <v>18</v>
      </c>
    </row>
    <row r="43" ht="22.5" hidden="1" customHeight="1">
      <c r="A43" s="3" t="s">
        <v>12</v>
      </c>
      <c r="B43" s="4">
        <v>37.0</v>
      </c>
      <c r="C43" s="5" t="s">
        <v>270</v>
      </c>
      <c r="D43" s="3" t="s">
        <v>56</v>
      </c>
      <c r="E43" s="3" t="s">
        <v>63</v>
      </c>
      <c r="F43" s="3" t="s">
        <v>16</v>
      </c>
      <c r="G43" s="3" t="s">
        <v>22</v>
      </c>
      <c r="H43" s="4">
        <v>38.8</v>
      </c>
      <c r="I43" s="4">
        <v>20.0</v>
      </c>
      <c r="J43" s="4">
        <v>190.0</v>
      </c>
      <c r="K43" s="4">
        <v>3950.0</v>
      </c>
      <c r="L43" s="3" t="s">
        <v>18</v>
      </c>
    </row>
    <row r="44" ht="22.5" hidden="1" customHeight="1">
      <c r="A44" s="3" t="s">
        <v>12</v>
      </c>
      <c r="B44" s="4">
        <v>38.0</v>
      </c>
      <c r="C44" s="5" t="s">
        <v>270</v>
      </c>
      <c r="D44" s="3" t="s">
        <v>56</v>
      </c>
      <c r="E44" s="3" t="s">
        <v>64</v>
      </c>
      <c r="F44" s="3" t="s">
        <v>16</v>
      </c>
      <c r="G44" s="3" t="s">
        <v>22</v>
      </c>
      <c r="H44" s="4">
        <v>42.2</v>
      </c>
      <c r="I44" s="4">
        <v>18.5</v>
      </c>
      <c r="J44" s="4">
        <v>180.0</v>
      </c>
      <c r="K44" s="4">
        <v>3550.0</v>
      </c>
      <c r="L44" s="3" t="s">
        <v>20</v>
      </c>
    </row>
    <row r="45" ht="22.5" hidden="1" customHeight="1">
      <c r="A45" s="3" t="s">
        <v>12</v>
      </c>
      <c r="B45" s="4">
        <v>41.0</v>
      </c>
      <c r="C45" s="5" t="s">
        <v>270</v>
      </c>
      <c r="D45" s="3" t="s">
        <v>56</v>
      </c>
      <c r="E45" s="3" t="s">
        <v>68</v>
      </c>
      <c r="F45" s="3" t="s">
        <v>16</v>
      </c>
      <c r="G45" s="3" t="s">
        <v>22</v>
      </c>
      <c r="H45" s="4">
        <v>36.5</v>
      </c>
      <c r="I45" s="4">
        <v>18.0</v>
      </c>
      <c r="J45" s="4">
        <v>182.0</v>
      </c>
      <c r="K45" s="4">
        <v>3150.0</v>
      </c>
      <c r="L45" s="3" t="s">
        <v>20</v>
      </c>
    </row>
    <row r="46" ht="22.5" hidden="1" customHeight="1">
      <c r="A46" s="3" t="s">
        <v>12</v>
      </c>
      <c r="B46" s="4">
        <v>42.0</v>
      </c>
      <c r="C46" s="5" t="s">
        <v>270</v>
      </c>
      <c r="D46" s="3" t="s">
        <v>56</v>
      </c>
      <c r="E46" s="3" t="s">
        <v>69</v>
      </c>
      <c r="F46" s="3" t="s">
        <v>16</v>
      </c>
      <c r="G46" s="3" t="s">
        <v>22</v>
      </c>
      <c r="H46" s="4">
        <v>40.8</v>
      </c>
      <c r="I46" s="4">
        <v>18.4</v>
      </c>
      <c r="J46" s="4">
        <v>195.0</v>
      </c>
      <c r="K46" s="4">
        <v>3900.0</v>
      </c>
      <c r="L46" s="3" t="s">
        <v>18</v>
      </c>
    </row>
    <row r="47" ht="22.5" hidden="1" customHeight="1">
      <c r="A47" s="3" t="s">
        <v>12</v>
      </c>
      <c r="B47" s="4">
        <v>45.0</v>
      </c>
      <c r="C47" s="5" t="s">
        <v>270</v>
      </c>
      <c r="D47" s="3" t="s">
        <v>56</v>
      </c>
      <c r="E47" s="3" t="s">
        <v>73</v>
      </c>
      <c r="F47" s="3" t="s">
        <v>16</v>
      </c>
      <c r="G47" s="3" t="s">
        <v>22</v>
      </c>
      <c r="H47" s="4">
        <v>37.0</v>
      </c>
      <c r="I47" s="4">
        <v>16.9</v>
      </c>
      <c r="J47" s="4">
        <v>185.0</v>
      </c>
      <c r="K47" s="4">
        <v>3000.0</v>
      </c>
      <c r="L47" s="3" t="s">
        <v>20</v>
      </c>
    </row>
    <row r="48" ht="22.5" hidden="1" customHeight="1">
      <c r="A48" s="3" t="s">
        <v>12</v>
      </c>
      <c r="B48" s="4">
        <v>46.0</v>
      </c>
      <c r="C48" s="5" t="s">
        <v>270</v>
      </c>
      <c r="D48" s="3" t="s">
        <v>56</v>
      </c>
      <c r="E48" s="3" t="s">
        <v>74</v>
      </c>
      <c r="F48" s="3" t="s">
        <v>16</v>
      </c>
      <c r="G48" s="3" t="s">
        <v>22</v>
      </c>
      <c r="H48" s="4">
        <v>39.6</v>
      </c>
      <c r="I48" s="4">
        <v>18.8</v>
      </c>
      <c r="J48" s="4">
        <v>190.0</v>
      </c>
      <c r="K48" s="4">
        <v>4600.0</v>
      </c>
      <c r="L48" s="3" t="s">
        <v>18</v>
      </c>
    </row>
    <row r="49" ht="22.5" hidden="1" customHeight="1">
      <c r="A49" s="3" t="s">
        <v>12</v>
      </c>
      <c r="B49" s="4">
        <v>5.0</v>
      </c>
      <c r="C49" s="5" t="s">
        <v>271</v>
      </c>
      <c r="D49" s="3" t="s">
        <v>44</v>
      </c>
      <c r="E49" s="3" t="s">
        <v>192</v>
      </c>
      <c r="F49" s="3" t="s">
        <v>16</v>
      </c>
      <c r="G49" s="3" t="s">
        <v>193</v>
      </c>
      <c r="H49" s="4">
        <v>47.6</v>
      </c>
      <c r="I49" s="4">
        <v>14.5</v>
      </c>
      <c r="J49" s="4">
        <v>215.0</v>
      </c>
      <c r="K49" s="4">
        <v>5400.0</v>
      </c>
      <c r="L49" s="3" t="s">
        <v>18</v>
      </c>
    </row>
    <row r="50" ht="22.5" hidden="1" customHeight="1">
      <c r="A50" s="3" t="s">
        <v>12</v>
      </c>
      <c r="B50" s="4">
        <v>6.0</v>
      </c>
      <c r="C50" s="5" t="s">
        <v>271</v>
      </c>
      <c r="D50" s="3" t="s">
        <v>44</v>
      </c>
      <c r="E50" s="3" t="s">
        <v>194</v>
      </c>
      <c r="F50" s="3" t="s">
        <v>16</v>
      </c>
      <c r="G50" s="3" t="s">
        <v>193</v>
      </c>
      <c r="H50" s="4">
        <v>46.5</v>
      </c>
      <c r="I50" s="4">
        <v>13.5</v>
      </c>
      <c r="J50" s="4">
        <v>210.0</v>
      </c>
      <c r="K50" s="4">
        <v>4550.0</v>
      </c>
      <c r="L50" s="3" t="s">
        <v>20</v>
      </c>
    </row>
    <row r="51" ht="22.5" hidden="1" customHeight="1">
      <c r="A51" s="3" t="s">
        <v>12</v>
      </c>
      <c r="B51" s="4">
        <v>43.0</v>
      </c>
      <c r="C51" s="5" t="s">
        <v>270</v>
      </c>
      <c r="D51" s="3" t="s">
        <v>56</v>
      </c>
      <c r="E51" s="3" t="s">
        <v>70</v>
      </c>
      <c r="F51" s="3" t="s">
        <v>16</v>
      </c>
      <c r="G51" s="3" t="s">
        <v>71</v>
      </c>
      <c r="H51" s="4">
        <v>36.0</v>
      </c>
      <c r="I51" s="4">
        <v>18.5</v>
      </c>
      <c r="J51" s="4">
        <v>186.0</v>
      </c>
      <c r="K51" s="4">
        <v>3100.0</v>
      </c>
      <c r="L51" s="3" t="s">
        <v>20</v>
      </c>
    </row>
    <row r="52" ht="22.5" hidden="1" customHeight="1">
      <c r="A52" s="3" t="s">
        <v>12</v>
      </c>
      <c r="B52" s="4">
        <v>44.0</v>
      </c>
      <c r="C52" s="5" t="s">
        <v>270</v>
      </c>
      <c r="D52" s="3" t="s">
        <v>56</v>
      </c>
      <c r="E52" s="3" t="s">
        <v>72</v>
      </c>
      <c r="F52" s="3" t="s">
        <v>16</v>
      </c>
      <c r="G52" s="3" t="s">
        <v>71</v>
      </c>
      <c r="H52" s="4">
        <v>44.1</v>
      </c>
      <c r="I52" s="4">
        <v>19.7</v>
      </c>
      <c r="J52" s="4">
        <v>196.0</v>
      </c>
      <c r="K52" s="4">
        <v>4400.0</v>
      </c>
      <c r="L52" s="3" t="s">
        <v>18</v>
      </c>
    </row>
    <row r="53" ht="22.5" hidden="1" customHeight="1">
      <c r="A53" s="3" t="s">
        <v>12</v>
      </c>
      <c r="B53" s="4">
        <v>1.0</v>
      </c>
      <c r="C53" s="5" t="s">
        <v>272</v>
      </c>
      <c r="D53" s="3" t="s">
        <v>56</v>
      </c>
      <c r="E53" s="3" t="s">
        <v>141</v>
      </c>
      <c r="F53" s="3" t="s">
        <v>26</v>
      </c>
      <c r="G53" s="3" t="s">
        <v>71</v>
      </c>
      <c r="H53" s="4">
        <v>46.5</v>
      </c>
      <c r="I53" s="4">
        <v>17.9</v>
      </c>
      <c r="J53" s="4">
        <v>192.0</v>
      </c>
      <c r="K53" s="4">
        <v>3500.0</v>
      </c>
      <c r="L53" s="3" t="s">
        <v>20</v>
      </c>
    </row>
    <row r="54" ht="22.5" hidden="1" customHeight="1">
      <c r="A54" s="3" t="s">
        <v>12</v>
      </c>
      <c r="B54" s="4">
        <v>2.0</v>
      </c>
      <c r="C54" s="5" t="s">
        <v>272</v>
      </c>
      <c r="D54" s="3" t="s">
        <v>56</v>
      </c>
      <c r="E54" s="3" t="s">
        <v>143</v>
      </c>
      <c r="F54" s="3" t="s">
        <v>26</v>
      </c>
      <c r="G54" s="3" t="s">
        <v>71</v>
      </c>
      <c r="H54" s="4">
        <v>50.0</v>
      </c>
      <c r="I54" s="4">
        <v>19.5</v>
      </c>
      <c r="J54" s="4">
        <v>196.0</v>
      </c>
      <c r="K54" s="4">
        <v>3900.0</v>
      </c>
      <c r="L54" s="3" t="s">
        <v>18</v>
      </c>
    </row>
    <row r="55" ht="22.5" hidden="1" customHeight="1">
      <c r="A55" s="3" t="s">
        <v>12</v>
      </c>
      <c r="B55" s="4">
        <v>5.0</v>
      </c>
      <c r="C55" s="5" t="s">
        <v>272</v>
      </c>
      <c r="D55" s="3" t="s">
        <v>56</v>
      </c>
      <c r="E55" s="3" t="s">
        <v>147</v>
      </c>
      <c r="F55" s="3" t="s">
        <v>16</v>
      </c>
      <c r="G55" s="3" t="s">
        <v>223</v>
      </c>
      <c r="H55" s="4">
        <v>52.7</v>
      </c>
      <c r="I55" s="4">
        <v>19.8</v>
      </c>
      <c r="J55" s="4">
        <v>197.0</v>
      </c>
      <c r="K55" s="4">
        <v>3725.0</v>
      </c>
      <c r="L55" s="3" t="s">
        <v>18</v>
      </c>
    </row>
    <row r="56" ht="22.5" hidden="1" customHeight="1">
      <c r="A56" s="3" t="s">
        <v>12</v>
      </c>
      <c r="B56" s="4">
        <v>6.0</v>
      </c>
      <c r="C56" s="5" t="s">
        <v>272</v>
      </c>
      <c r="D56" s="3" t="s">
        <v>56</v>
      </c>
      <c r="E56" s="3" t="s">
        <v>149</v>
      </c>
      <c r="F56" s="3" t="s">
        <v>16</v>
      </c>
      <c r="G56" s="3" t="s">
        <v>223</v>
      </c>
      <c r="H56" s="4">
        <v>45.2</v>
      </c>
      <c r="I56" s="4">
        <v>17.8</v>
      </c>
      <c r="J56" s="4">
        <v>198.0</v>
      </c>
      <c r="K56" s="4">
        <v>3950.0</v>
      </c>
      <c r="L56" s="3" t="s">
        <v>20</v>
      </c>
    </row>
    <row r="57" ht="22.5" hidden="1" customHeight="1">
      <c r="A57" s="3" t="s">
        <v>12</v>
      </c>
      <c r="B57" s="4">
        <v>9.0</v>
      </c>
      <c r="C57" s="5" t="s">
        <v>272</v>
      </c>
      <c r="D57" s="3" t="s">
        <v>56</v>
      </c>
      <c r="E57" s="3" t="s">
        <v>152</v>
      </c>
      <c r="F57" s="3" t="s">
        <v>16</v>
      </c>
      <c r="G57" s="3" t="s">
        <v>223</v>
      </c>
      <c r="H57" s="4">
        <v>46.0</v>
      </c>
      <c r="I57" s="4">
        <v>18.9</v>
      </c>
      <c r="J57" s="4">
        <v>195.0</v>
      </c>
      <c r="K57" s="4">
        <v>4150.0</v>
      </c>
      <c r="L57" s="3" t="s">
        <v>20</v>
      </c>
    </row>
    <row r="58" ht="22.5" hidden="1" customHeight="1">
      <c r="A58" s="3" t="s">
        <v>12</v>
      </c>
      <c r="B58" s="4">
        <v>10.0</v>
      </c>
      <c r="C58" s="5" t="s">
        <v>272</v>
      </c>
      <c r="D58" s="3" t="s">
        <v>56</v>
      </c>
      <c r="E58" s="3" t="s">
        <v>154</v>
      </c>
      <c r="F58" s="3" t="s">
        <v>16</v>
      </c>
      <c r="G58" s="3" t="s">
        <v>223</v>
      </c>
      <c r="H58" s="4">
        <v>51.3</v>
      </c>
      <c r="I58" s="4">
        <v>19.9</v>
      </c>
      <c r="J58" s="4">
        <v>198.0</v>
      </c>
      <c r="K58" s="4">
        <v>3700.0</v>
      </c>
      <c r="L58" s="3" t="s">
        <v>18</v>
      </c>
    </row>
    <row r="59" ht="22.5" hidden="1" customHeight="1">
      <c r="A59" s="3" t="s">
        <v>12</v>
      </c>
      <c r="B59" s="4">
        <v>15.0</v>
      </c>
      <c r="C59" s="5" t="s">
        <v>272</v>
      </c>
      <c r="D59" s="3" t="s">
        <v>56</v>
      </c>
      <c r="E59" s="3" t="s">
        <v>227</v>
      </c>
      <c r="F59" s="3" t="s">
        <v>16</v>
      </c>
      <c r="G59" s="3" t="s">
        <v>228</v>
      </c>
      <c r="H59" s="4">
        <v>45.9</v>
      </c>
      <c r="I59" s="4">
        <v>17.1</v>
      </c>
      <c r="J59" s="4">
        <v>190.0</v>
      </c>
      <c r="K59" s="4">
        <v>3575.0</v>
      </c>
      <c r="L59" s="3" t="s">
        <v>20</v>
      </c>
    </row>
    <row r="60" ht="22.5" hidden="1" customHeight="1">
      <c r="A60" s="3" t="s">
        <v>12</v>
      </c>
      <c r="B60" s="4">
        <v>16.0</v>
      </c>
      <c r="C60" s="5" t="s">
        <v>272</v>
      </c>
      <c r="D60" s="3" t="s">
        <v>56</v>
      </c>
      <c r="E60" s="3" t="s">
        <v>229</v>
      </c>
      <c r="F60" s="3" t="s">
        <v>16</v>
      </c>
      <c r="G60" s="3" t="s">
        <v>228</v>
      </c>
      <c r="H60" s="4">
        <v>50.5</v>
      </c>
      <c r="I60" s="4">
        <v>19.6</v>
      </c>
      <c r="J60" s="4">
        <v>201.0</v>
      </c>
      <c r="K60" s="4">
        <v>4050.0</v>
      </c>
      <c r="L60" s="3" t="s">
        <v>18</v>
      </c>
    </row>
    <row r="61" ht="22.5" hidden="1" customHeight="1">
      <c r="A61" s="3" t="s">
        <v>12</v>
      </c>
      <c r="B61" s="4">
        <v>3.0</v>
      </c>
      <c r="C61" s="5" t="s">
        <v>272</v>
      </c>
      <c r="D61" s="3" t="s">
        <v>56</v>
      </c>
      <c r="E61" s="3" t="s">
        <v>220</v>
      </c>
      <c r="F61" s="3" t="s">
        <v>16</v>
      </c>
      <c r="G61" s="3" t="s">
        <v>221</v>
      </c>
      <c r="H61" s="4">
        <v>51.3</v>
      </c>
      <c r="I61" s="4">
        <v>19.2</v>
      </c>
      <c r="J61" s="4">
        <v>193.0</v>
      </c>
      <c r="K61" s="4">
        <v>3650.0</v>
      </c>
      <c r="L61" s="3" t="s">
        <v>18</v>
      </c>
    </row>
    <row r="62" ht="22.5" hidden="1" customHeight="1">
      <c r="A62" s="3" t="s">
        <v>12</v>
      </c>
      <c r="B62" s="4">
        <v>4.0</v>
      </c>
      <c r="C62" s="5" t="s">
        <v>272</v>
      </c>
      <c r="D62" s="3" t="s">
        <v>56</v>
      </c>
      <c r="E62" s="3" t="s">
        <v>222</v>
      </c>
      <c r="F62" s="3" t="s">
        <v>16</v>
      </c>
      <c r="G62" s="3" t="s">
        <v>221</v>
      </c>
      <c r="H62" s="4">
        <v>45.4</v>
      </c>
      <c r="I62" s="4">
        <v>18.7</v>
      </c>
      <c r="J62" s="4">
        <v>188.0</v>
      </c>
      <c r="K62" s="4">
        <v>3525.0</v>
      </c>
      <c r="L62" s="3" t="s">
        <v>20</v>
      </c>
    </row>
    <row r="63" ht="22.5" hidden="1" customHeight="1">
      <c r="A63" s="3" t="s">
        <v>12</v>
      </c>
      <c r="B63" s="4">
        <v>13.0</v>
      </c>
      <c r="C63" s="5" t="s">
        <v>272</v>
      </c>
      <c r="D63" s="3" t="s">
        <v>56</v>
      </c>
      <c r="E63" s="3" t="s">
        <v>155</v>
      </c>
      <c r="F63" s="3" t="s">
        <v>16</v>
      </c>
      <c r="G63" s="3" t="s">
        <v>221</v>
      </c>
      <c r="H63" s="4">
        <v>47.0</v>
      </c>
      <c r="I63" s="4">
        <v>17.3</v>
      </c>
      <c r="J63" s="4">
        <v>185.0</v>
      </c>
      <c r="K63" s="4">
        <v>3700.0</v>
      </c>
      <c r="L63" s="3" t="s">
        <v>20</v>
      </c>
    </row>
    <row r="64" ht="22.5" hidden="1" customHeight="1">
      <c r="A64" s="3" t="s">
        <v>12</v>
      </c>
      <c r="B64" s="4">
        <v>14.0</v>
      </c>
      <c r="C64" s="5" t="s">
        <v>272</v>
      </c>
      <c r="D64" s="3" t="s">
        <v>56</v>
      </c>
      <c r="E64" s="3" t="s">
        <v>156</v>
      </c>
      <c r="F64" s="3" t="s">
        <v>16</v>
      </c>
      <c r="G64" s="3" t="s">
        <v>221</v>
      </c>
      <c r="H64" s="4">
        <v>52.0</v>
      </c>
      <c r="I64" s="4">
        <v>18.1</v>
      </c>
      <c r="J64" s="4">
        <v>201.0</v>
      </c>
      <c r="K64" s="4">
        <v>4050.0</v>
      </c>
      <c r="L64" s="3" t="s">
        <v>18</v>
      </c>
    </row>
    <row r="65" ht="22.5" hidden="1" customHeight="1">
      <c r="A65" s="3" t="s">
        <v>12</v>
      </c>
      <c r="B65" s="4">
        <v>1.0</v>
      </c>
      <c r="C65" s="5" t="s">
        <v>271</v>
      </c>
      <c r="D65" s="3" t="s">
        <v>44</v>
      </c>
      <c r="E65" s="3" t="s">
        <v>189</v>
      </c>
      <c r="F65" s="3" t="s">
        <v>16</v>
      </c>
      <c r="G65" s="3" t="s">
        <v>190</v>
      </c>
      <c r="H65" s="4">
        <v>46.1</v>
      </c>
      <c r="I65" s="4">
        <v>13.2</v>
      </c>
      <c r="J65" s="4">
        <v>211.0</v>
      </c>
      <c r="K65" s="4">
        <v>4500.0</v>
      </c>
      <c r="L65" s="3" t="s">
        <v>20</v>
      </c>
    </row>
    <row r="66" ht="22.5" hidden="1" customHeight="1">
      <c r="A66" s="3" t="s">
        <v>12</v>
      </c>
      <c r="B66" s="4">
        <v>2.0</v>
      </c>
      <c r="C66" s="5" t="s">
        <v>271</v>
      </c>
      <c r="D66" s="3" t="s">
        <v>44</v>
      </c>
      <c r="E66" s="3" t="s">
        <v>191</v>
      </c>
      <c r="F66" s="3" t="s">
        <v>16</v>
      </c>
      <c r="G66" s="3" t="s">
        <v>190</v>
      </c>
      <c r="H66" s="4">
        <v>50.0</v>
      </c>
      <c r="I66" s="4">
        <v>16.3</v>
      </c>
      <c r="J66" s="4">
        <v>230.0</v>
      </c>
      <c r="K66" s="4">
        <v>5700.0</v>
      </c>
      <c r="L66" s="3" t="s">
        <v>18</v>
      </c>
    </row>
    <row r="67" ht="22.5" hidden="1" customHeight="1">
      <c r="A67" s="3" t="s">
        <v>12</v>
      </c>
      <c r="B67" s="4">
        <v>3.0</v>
      </c>
      <c r="C67" s="5" t="s">
        <v>271</v>
      </c>
      <c r="D67" s="3" t="s">
        <v>44</v>
      </c>
      <c r="E67" s="3" t="s">
        <v>84</v>
      </c>
      <c r="F67" s="3" t="s">
        <v>16</v>
      </c>
      <c r="G67" s="3" t="s">
        <v>190</v>
      </c>
      <c r="H67" s="4">
        <v>48.7</v>
      </c>
      <c r="I67" s="4">
        <v>14.1</v>
      </c>
      <c r="J67" s="4">
        <v>210.0</v>
      </c>
      <c r="K67" s="4">
        <v>4450.0</v>
      </c>
      <c r="L67" s="3" t="s">
        <v>20</v>
      </c>
    </row>
    <row r="68" ht="22.5" hidden="1" customHeight="1">
      <c r="A68" s="3" t="s">
        <v>12</v>
      </c>
      <c r="B68" s="4">
        <v>4.0</v>
      </c>
      <c r="C68" s="5" t="s">
        <v>271</v>
      </c>
      <c r="D68" s="3" t="s">
        <v>44</v>
      </c>
      <c r="E68" s="3" t="s">
        <v>86</v>
      </c>
      <c r="F68" s="3" t="s">
        <v>16</v>
      </c>
      <c r="G68" s="3" t="s">
        <v>190</v>
      </c>
      <c r="H68" s="4">
        <v>50.0</v>
      </c>
      <c r="I68" s="4">
        <v>15.2</v>
      </c>
      <c r="J68" s="4">
        <v>218.0</v>
      </c>
      <c r="K68" s="4">
        <v>5700.0</v>
      </c>
      <c r="L68" s="3" t="s">
        <v>18</v>
      </c>
    </row>
    <row r="69" ht="22.5" hidden="1" customHeight="1">
      <c r="A69" s="3" t="s">
        <v>12</v>
      </c>
      <c r="B69" s="4">
        <v>7.0</v>
      </c>
      <c r="C69" s="5" t="s">
        <v>271</v>
      </c>
      <c r="D69" s="3" t="s">
        <v>44</v>
      </c>
      <c r="E69" s="3" t="s">
        <v>87</v>
      </c>
      <c r="F69" s="3" t="s">
        <v>16</v>
      </c>
      <c r="G69" s="3" t="s">
        <v>190</v>
      </c>
      <c r="H69" s="4">
        <v>45.4</v>
      </c>
      <c r="I69" s="4">
        <v>14.6</v>
      </c>
      <c r="J69" s="4">
        <v>211.0</v>
      </c>
      <c r="K69" s="4">
        <v>4800.0</v>
      </c>
      <c r="L69" s="3" t="s">
        <v>20</v>
      </c>
    </row>
    <row r="70" ht="22.5" hidden="1" customHeight="1">
      <c r="A70" s="3" t="s">
        <v>12</v>
      </c>
      <c r="B70" s="4">
        <v>8.0</v>
      </c>
      <c r="C70" s="5" t="s">
        <v>271</v>
      </c>
      <c r="D70" s="3" t="s">
        <v>44</v>
      </c>
      <c r="E70" s="3" t="s">
        <v>89</v>
      </c>
      <c r="F70" s="3" t="s">
        <v>16</v>
      </c>
      <c r="G70" s="3" t="s">
        <v>190</v>
      </c>
      <c r="H70" s="4">
        <v>46.7</v>
      </c>
      <c r="I70" s="4">
        <v>15.3</v>
      </c>
      <c r="J70" s="4">
        <v>219.0</v>
      </c>
      <c r="K70" s="4">
        <v>5200.0</v>
      </c>
      <c r="L70" s="3" t="s">
        <v>18</v>
      </c>
    </row>
    <row r="71" ht="22.5" hidden="1" customHeight="1">
      <c r="A71" s="3" t="s">
        <v>12</v>
      </c>
      <c r="B71" s="4">
        <v>9.0</v>
      </c>
      <c r="C71" s="5" t="s">
        <v>271</v>
      </c>
      <c r="D71" s="3" t="s">
        <v>44</v>
      </c>
      <c r="E71" s="3" t="s">
        <v>90</v>
      </c>
      <c r="F71" s="3" t="s">
        <v>16</v>
      </c>
      <c r="G71" s="3" t="s">
        <v>190</v>
      </c>
      <c r="H71" s="4">
        <v>43.3</v>
      </c>
      <c r="I71" s="4">
        <v>13.4</v>
      </c>
      <c r="J71" s="4">
        <v>209.0</v>
      </c>
      <c r="K71" s="4">
        <v>4400.0</v>
      </c>
      <c r="L71" s="3" t="s">
        <v>20</v>
      </c>
    </row>
    <row r="72" ht="22.5" hidden="1" customHeight="1">
      <c r="A72" s="3" t="s">
        <v>12</v>
      </c>
      <c r="B72" s="4">
        <v>10.0</v>
      </c>
      <c r="C72" s="5" t="s">
        <v>271</v>
      </c>
      <c r="D72" s="3" t="s">
        <v>44</v>
      </c>
      <c r="E72" s="3" t="s">
        <v>91</v>
      </c>
      <c r="F72" s="3" t="s">
        <v>16</v>
      </c>
      <c r="G72" s="3" t="s">
        <v>190</v>
      </c>
      <c r="H72" s="4">
        <v>46.8</v>
      </c>
      <c r="I72" s="4">
        <v>15.4</v>
      </c>
      <c r="J72" s="4">
        <v>215.0</v>
      </c>
      <c r="K72" s="4">
        <v>5150.0</v>
      </c>
      <c r="L72" s="3" t="s">
        <v>18</v>
      </c>
    </row>
    <row r="73" ht="22.5" hidden="1" customHeight="1">
      <c r="A73" s="3" t="s">
        <v>12</v>
      </c>
      <c r="B73" s="4">
        <v>11.0</v>
      </c>
      <c r="C73" s="5" t="s">
        <v>271</v>
      </c>
      <c r="D73" s="3" t="s">
        <v>44</v>
      </c>
      <c r="E73" s="3" t="s">
        <v>92</v>
      </c>
      <c r="F73" s="3" t="s">
        <v>26</v>
      </c>
      <c r="G73" s="3" t="s">
        <v>190</v>
      </c>
      <c r="H73" s="4">
        <v>40.9</v>
      </c>
      <c r="I73" s="4">
        <v>13.7</v>
      </c>
      <c r="J73" s="4">
        <v>214.0</v>
      </c>
      <c r="K73" s="4">
        <v>4650.0</v>
      </c>
      <c r="L73" s="3" t="s">
        <v>20</v>
      </c>
    </row>
    <row r="74" ht="22.5" hidden="1" customHeight="1">
      <c r="A74" s="3" t="s">
        <v>12</v>
      </c>
      <c r="B74" s="4">
        <v>12.0</v>
      </c>
      <c r="C74" s="5" t="s">
        <v>271</v>
      </c>
      <c r="D74" s="3" t="s">
        <v>44</v>
      </c>
      <c r="E74" s="3" t="s">
        <v>94</v>
      </c>
      <c r="F74" s="3" t="s">
        <v>26</v>
      </c>
      <c r="G74" s="3" t="s">
        <v>190</v>
      </c>
      <c r="H74" s="4">
        <v>49.0</v>
      </c>
      <c r="I74" s="4">
        <v>16.1</v>
      </c>
      <c r="J74" s="4">
        <v>216.0</v>
      </c>
      <c r="K74" s="4">
        <v>5550.0</v>
      </c>
      <c r="L74" s="3" t="s">
        <v>18</v>
      </c>
    </row>
    <row r="75" ht="22.5" hidden="1" customHeight="1">
      <c r="A75" s="3" t="s">
        <v>12</v>
      </c>
      <c r="B75" s="4">
        <v>17.0</v>
      </c>
      <c r="C75" s="5" t="s">
        <v>271</v>
      </c>
      <c r="D75" s="3" t="s">
        <v>44</v>
      </c>
      <c r="E75" s="3" t="s">
        <v>99</v>
      </c>
      <c r="F75" s="3" t="s">
        <v>16</v>
      </c>
      <c r="G75" s="3" t="s">
        <v>190</v>
      </c>
      <c r="H75" s="4">
        <v>42.0</v>
      </c>
      <c r="I75" s="4">
        <v>13.5</v>
      </c>
      <c r="J75" s="4">
        <v>210.0</v>
      </c>
      <c r="K75" s="4">
        <v>4150.0</v>
      </c>
      <c r="L75" s="3" t="s">
        <v>20</v>
      </c>
    </row>
    <row r="76" ht="22.5" hidden="1" customHeight="1">
      <c r="A76" s="3" t="s">
        <v>12</v>
      </c>
      <c r="B76" s="4">
        <v>18.0</v>
      </c>
      <c r="C76" s="5" t="s">
        <v>271</v>
      </c>
      <c r="D76" s="3" t="s">
        <v>44</v>
      </c>
      <c r="E76" s="3" t="s">
        <v>101</v>
      </c>
      <c r="F76" s="3" t="s">
        <v>16</v>
      </c>
      <c r="G76" s="3" t="s">
        <v>190</v>
      </c>
      <c r="H76" s="4">
        <v>49.2</v>
      </c>
      <c r="I76" s="4">
        <v>15.2</v>
      </c>
      <c r="J76" s="4">
        <v>221.0</v>
      </c>
      <c r="K76" s="4">
        <v>6300.0</v>
      </c>
      <c r="L76" s="3" t="s">
        <v>18</v>
      </c>
    </row>
    <row r="77" ht="22.5" hidden="1" customHeight="1">
      <c r="A77" s="3" t="s">
        <v>12</v>
      </c>
      <c r="B77" s="4">
        <v>19.0</v>
      </c>
      <c r="C77" s="5" t="s">
        <v>271</v>
      </c>
      <c r="D77" s="3" t="s">
        <v>44</v>
      </c>
      <c r="E77" s="3" t="s">
        <v>102</v>
      </c>
      <c r="F77" s="3" t="s">
        <v>16</v>
      </c>
      <c r="G77" s="3" t="s">
        <v>190</v>
      </c>
      <c r="H77" s="4">
        <v>46.2</v>
      </c>
      <c r="I77" s="4">
        <v>14.5</v>
      </c>
      <c r="J77" s="4">
        <v>209.0</v>
      </c>
      <c r="K77" s="4">
        <v>4800.0</v>
      </c>
      <c r="L77" s="3" t="s">
        <v>20</v>
      </c>
    </row>
    <row r="78" ht="22.5" hidden="1" customHeight="1">
      <c r="A78" s="3" t="s">
        <v>12</v>
      </c>
      <c r="B78" s="4">
        <v>20.0</v>
      </c>
      <c r="C78" s="5" t="s">
        <v>271</v>
      </c>
      <c r="D78" s="3" t="s">
        <v>44</v>
      </c>
      <c r="E78" s="3" t="s">
        <v>104</v>
      </c>
      <c r="F78" s="3" t="s">
        <v>16</v>
      </c>
      <c r="G78" s="3" t="s">
        <v>190</v>
      </c>
      <c r="H78" s="4">
        <v>48.7</v>
      </c>
      <c r="I78" s="4">
        <v>15.1</v>
      </c>
      <c r="J78" s="4">
        <v>222.0</v>
      </c>
      <c r="K78" s="4">
        <v>5350.0</v>
      </c>
      <c r="L78" s="3" t="s">
        <v>18</v>
      </c>
    </row>
    <row r="79" ht="22.5" hidden="1" customHeight="1">
      <c r="A79" s="3" t="s">
        <v>12</v>
      </c>
      <c r="B79" s="4">
        <v>21.0</v>
      </c>
      <c r="C79" s="5" t="s">
        <v>271</v>
      </c>
      <c r="D79" s="3" t="s">
        <v>44</v>
      </c>
      <c r="E79" s="3" t="s">
        <v>105</v>
      </c>
      <c r="F79" s="3" t="s">
        <v>16</v>
      </c>
      <c r="G79" s="3" t="s">
        <v>190</v>
      </c>
      <c r="H79" s="4">
        <v>50.2</v>
      </c>
      <c r="I79" s="4">
        <v>14.3</v>
      </c>
      <c r="J79" s="4">
        <v>218.0</v>
      </c>
      <c r="K79" s="4">
        <v>5700.0</v>
      </c>
      <c r="L79" s="3" t="s">
        <v>18</v>
      </c>
    </row>
    <row r="80" ht="22.5" hidden="1" customHeight="1">
      <c r="A80" s="3" t="s">
        <v>12</v>
      </c>
      <c r="B80" s="4">
        <v>22.0</v>
      </c>
      <c r="C80" s="5" t="s">
        <v>271</v>
      </c>
      <c r="D80" s="3" t="s">
        <v>44</v>
      </c>
      <c r="E80" s="3" t="s">
        <v>107</v>
      </c>
      <c r="F80" s="3" t="s">
        <v>16</v>
      </c>
      <c r="G80" s="3" t="s">
        <v>190</v>
      </c>
      <c r="H80" s="4">
        <v>45.1</v>
      </c>
      <c r="I80" s="4">
        <v>14.5</v>
      </c>
      <c r="J80" s="4">
        <v>215.0</v>
      </c>
      <c r="K80" s="4">
        <v>5000.0</v>
      </c>
      <c r="L80" s="3" t="s">
        <v>20</v>
      </c>
    </row>
    <row r="81" ht="22.5" hidden="1" customHeight="1">
      <c r="A81" s="3" t="s">
        <v>12</v>
      </c>
      <c r="B81" s="4">
        <v>23.0</v>
      </c>
      <c r="C81" s="5" t="s">
        <v>271</v>
      </c>
      <c r="D81" s="3" t="s">
        <v>44</v>
      </c>
      <c r="E81" s="3" t="s">
        <v>108</v>
      </c>
      <c r="F81" s="3" t="s">
        <v>16</v>
      </c>
      <c r="G81" s="3" t="s">
        <v>190</v>
      </c>
      <c r="H81" s="4">
        <v>46.5</v>
      </c>
      <c r="I81" s="4">
        <v>14.5</v>
      </c>
      <c r="J81" s="4">
        <v>213.0</v>
      </c>
      <c r="K81" s="4">
        <v>4400.0</v>
      </c>
      <c r="L81" s="3" t="s">
        <v>20</v>
      </c>
    </row>
    <row r="82" ht="22.5" hidden="1" customHeight="1">
      <c r="A82" s="3" t="s">
        <v>12</v>
      </c>
      <c r="B82" s="4">
        <v>24.0</v>
      </c>
      <c r="C82" s="5" t="s">
        <v>271</v>
      </c>
      <c r="D82" s="3" t="s">
        <v>44</v>
      </c>
      <c r="E82" s="3" t="s">
        <v>109</v>
      </c>
      <c r="F82" s="3" t="s">
        <v>16</v>
      </c>
      <c r="G82" s="3" t="s">
        <v>190</v>
      </c>
      <c r="H82" s="4">
        <v>46.3</v>
      </c>
      <c r="I82" s="4">
        <v>15.8</v>
      </c>
      <c r="J82" s="4">
        <v>215.0</v>
      </c>
      <c r="K82" s="4">
        <v>5050.0</v>
      </c>
      <c r="L82" s="3" t="s">
        <v>18</v>
      </c>
    </row>
    <row r="83" ht="22.5" hidden="1" customHeight="1">
      <c r="A83" s="3" t="s">
        <v>12</v>
      </c>
      <c r="B83" s="4">
        <v>7.0</v>
      </c>
      <c r="C83" s="5" t="s">
        <v>272</v>
      </c>
      <c r="D83" s="3" t="s">
        <v>56</v>
      </c>
      <c r="E83" s="3" t="s">
        <v>150</v>
      </c>
      <c r="F83" s="3" t="s">
        <v>16</v>
      </c>
      <c r="G83" s="3" t="s">
        <v>224</v>
      </c>
      <c r="H83" s="4">
        <v>46.1</v>
      </c>
      <c r="I83" s="4">
        <v>18.2</v>
      </c>
      <c r="J83" s="4">
        <v>178.0</v>
      </c>
      <c r="K83" s="4">
        <v>3250.0</v>
      </c>
      <c r="L83" s="3" t="s">
        <v>20</v>
      </c>
    </row>
    <row r="84" ht="22.5" hidden="1" customHeight="1">
      <c r="A84" s="3" t="s">
        <v>12</v>
      </c>
      <c r="B84" s="4">
        <v>8.0</v>
      </c>
      <c r="C84" s="5" t="s">
        <v>272</v>
      </c>
      <c r="D84" s="3" t="s">
        <v>56</v>
      </c>
      <c r="E84" s="3" t="s">
        <v>151</v>
      </c>
      <c r="F84" s="3" t="s">
        <v>16</v>
      </c>
      <c r="G84" s="3" t="s">
        <v>224</v>
      </c>
      <c r="H84" s="4">
        <v>51.3</v>
      </c>
      <c r="I84" s="4">
        <v>18.2</v>
      </c>
      <c r="J84" s="4">
        <v>197.0</v>
      </c>
      <c r="K84" s="4">
        <v>3750.0</v>
      </c>
      <c r="L84" s="3" t="s">
        <v>18</v>
      </c>
    </row>
    <row r="85" ht="22.5" hidden="1" customHeight="1">
      <c r="A85" s="3" t="s">
        <v>12</v>
      </c>
      <c r="B85" s="4">
        <v>11.0</v>
      </c>
      <c r="C85" s="5" t="s">
        <v>272</v>
      </c>
      <c r="D85" s="3" t="s">
        <v>56</v>
      </c>
      <c r="E85" s="3" t="s">
        <v>225</v>
      </c>
      <c r="F85" s="3" t="s">
        <v>16</v>
      </c>
      <c r="G85" s="3" t="s">
        <v>224</v>
      </c>
      <c r="H85" s="4">
        <v>46.6</v>
      </c>
      <c r="I85" s="4">
        <v>17.8</v>
      </c>
      <c r="J85" s="4">
        <v>193.0</v>
      </c>
      <c r="K85" s="4">
        <v>3800.0</v>
      </c>
      <c r="L85" s="3" t="s">
        <v>20</v>
      </c>
    </row>
    <row r="86" ht="22.5" hidden="1" customHeight="1">
      <c r="A86" s="3" t="s">
        <v>12</v>
      </c>
      <c r="B86" s="4">
        <v>12.0</v>
      </c>
      <c r="C86" s="5" t="s">
        <v>272</v>
      </c>
      <c r="D86" s="3" t="s">
        <v>56</v>
      </c>
      <c r="E86" s="3" t="s">
        <v>226</v>
      </c>
      <c r="F86" s="3" t="s">
        <v>16</v>
      </c>
      <c r="G86" s="3" t="s">
        <v>224</v>
      </c>
      <c r="H86" s="4">
        <v>51.7</v>
      </c>
      <c r="I86" s="4">
        <v>20.3</v>
      </c>
      <c r="J86" s="4">
        <v>194.0</v>
      </c>
      <c r="K86" s="4">
        <v>3775.0</v>
      </c>
      <c r="L86" s="3" t="s">
        <v>18</v>
      </c>
    </row>
    <row r="87" ht="22.5" hidden="1" customHeight="1">
      <c r="A87" s="3" t="s">
        <v>12</v>
      </c>
      <c r="B87" s="4">
        <v>23.0</v>
      </c>
      <c r="C87" s="5" t="s">
        <v>272</v>
      </c>
      <c r="D87" s="3" t="s">
        <v>56</v>
      </c>
      <c r="E87" s="3" t="s">
        <v>186</v>
      </c>
      <c r="F87" s="3" t="s">
        <v>26</v>
      </c>
      <c r="G87" s="3" t="s">
        <v>224</v>
      </c>
      <c r="H87" s="4">
        <v>43.2</v>
      </c>
      <c r="I87" s="4">
        <v>16.6</v>
      </c>
      <c r="J87" s="4">
        <v>187.0</v>
      </c>
      <c r="K87" s="4">
        <v>2900.0</v>
      </c>
      <c r="L87" s="3" t="s">
        <v>20</v>
      </c>
    </row>
    <row r="88" ht="22.5" hidden="1" customHeight="1">
      <c r="A88" s="3" t="s">
        <v>12</v>
      </c>
      <c r="B88" s="4">
        <v>24.0</v>
      </c>
      <c r="C88" s="5" t="s">
        <v>272</v>
      </c>
      <c r="D88" s="3" t="s">
        <v>56</v>
      </c>
      <c r="E88" s="3" t="s">
        <v>187</v>
      </c>
      <c r="F88" s="3" t="s">
        <v>26</v>
      </c>
      <c r="G88" s="3" t="s">
        <v>224</v>
      </c>
      <c r="H88" s="4">
        <v>50.6</v>
      </c>
      <c r="I88" s="4">
        <v>19.4</v>
      </c>
      <c r="J88" s="4">
        <v>193.0</v>
      </c>
      <c r="K88" s="4">
        <v>3800.0</v>
      </c>
      <c r="L88" s="3" t="s">
        <v>18</v>
      </c>
    </row>
    <row r="89" ht="22.5" hidden="1" customHeight="1">
      <c r="A89" s="3" t="s">
        <v>12</v>
      </c>
      <c r="B89" s="4">
        <v>25.0</v>
      </c>
      <c r="C89" s="5" t="s">
        <v>272</v>
      </c>
      <c r="D89" s="3" t="s">
        <v>56</v>
      </c>
      <c r="E89" s="3" t="s">
        <v>231</v>
      </c>
      <c r="F89" s="3" t="s">
        <v>26</v>
      </c>
      <c r="G89" s="3" t="s">
        <v>224</v>
      </c>
      <c r="H89" s="4">
        <v>46.7</v>
      </c>
      <c r="I89" s="4">
        <v>17.9</v>
      </c>
      <c r="J89" s="4">
        <v>195.0</v>
      </c>
      <c r="K89" s="4">
        <v>3300.0</v>
      </c>
      <c r="L89" s="3" t="s">
        <v>20</v>
      </c>
    </row>
    <row r="90" ht="22.5" hidden="1" customHeight="1">
      <c r="A90" s="3" t="s">
        <v>12</v>
      </c>
      <c r="B90" s="4">
        <v>26.0</v>
      </c>
      <c r="C90" s="5" t="s">
        <v>272</v>
      </c>
      <c r="D90" s="3" t="s">
        <v>56</v>
      </c>
      <c r="E90" s="3" t="s">
        <v>232</v>
      </c>
      <c r="F90" s="3" t="s">
        <v>26</v>
      </c>
      <c r="G90" s="3" t="s">
        <v>224</v>
      </c>
      <c r="H90" s="4">
        <v>52.0</v>
      </c>
      <c r="I90" s="4">
        <v>19.0</v>
      </c>
      <c r="J90" s="4">
        <v>197.0</v>
      </c>
      <c r="K90" s="4">
        <v>4150.0</v>
      </c>
      <c r="L90" s="3" t="s">
        <v>18</v>
      </c>
    </row>
    <row r="91" ht="22.5" hidden="1" customHeight="1">
      <c r="A91" s="3" t="s">
        <v>12</v>
      </c>
      <c r="B91" s="4">
        <v>13.0</v>
      </c>
      <c r="C91" s="5" t="s">
        <v>271</v>
      </c>
      <c r="D91" s="3" t="s">
        <v>44</v>
      </c>
      <c r="E91" s="3" t="s">
        <v>95</v>
      </c>
      <c r="F91" s="3" t="s">
        <v>16</v>
      </c>
      <c r="G91" s="3" t="s">
        <v>195</v>
      </c>
      <c r="H91" s="4">
        <v>45.5</v>
      </c>
      <c r="I91" s="4">
        <v>13.7</v>
      </c>
      <c r="J91" s="4">
        <v>214.0</v>
      </c>
      <c r="K91" s="4">
        <v>4650.0</v>
      </c>
      <c r="L91" s="3" t="s">
        <v>20</v>
      </c>
    </row>
    <row r="92" ht="22.5" hidden="1" customHeight="1">
      <c r="A92" s="3" t="s">
        <v>12</v>
      </c>
      <c r="B92" s="4">
        <v>14.0</v>
      </c>
      <c r="C92" s="5" t="s">
        <v>271</v>
      </c>
      <c r="D92" s="3" t="s">
        <v>44</v>
      </c>
      <c r="E92" s="3" t="s">
        <v>96</v>
      </c>
      <c r="F92" s="3" t="s">
        <v>16</v>
      </c>
      <c r="G92" s="3" t="s">
        <v>195</v>
      </c>
      <c r="H92" s="4">
        <v>48.4</v>
      </c>
      <c r="I92" s="4">
        <v>14.6</v>
      </c>
      <c r="J92" s="4">
        <v>213.0</v>
      </c>
      <c r="K92" s="4">
        <v>5850.0</v>
      </c>
      <c r="L92" s="3" t="s">
        <v>18</v>
      </c>
    </row>
    <row r="93" ht="22.5" hidden="1" customHeight="1">
      <c r="A93" s="3" t="s">
        <v>12</v>
      </c>
      <c r="B93" s="4">
        <v>25.0</v>
      </c>
      <c r="C93" s="5" t="s">
        <v>271</v>
      </c>
      <c r="D93" s="3" t="s">
        <v>44</v>
      </c>
      <c r="E93" s="3" t="s">
        <v>110</v>
      </c>
      <c r="F93" s="3" t="s">
        <v>16</v>
      </c>
      <c r="G93" s="3" t="s">
        <v>195</v>
      </c>
      <c r="H93" s="4">
        <v>42.9</v>
      </c>
      <c r="I93" s="4">
        <v>13.1</v>
      </c>
      <c r="J93" s="4">
        <v>215.0</v>
      </c>
      <c r="K93" s="4">
        <v>5000.0</v>
      </c>
      <c r="L93" s="3" t="s">
        <v>20</v>
      </c>
    </row>
    <row r="94" ht="22.5" hidden="1" customHeight="1">
      <c r="A94" s="3" t="s">
        <v>12</v>
      </c>
      <c r="B94" s="4">
        <v>26.0</v>
      </c>
      <c r="C94" s="5" t="s">
        <v>271</v>
      </c>
      <c r="D94" s="3" t="s">
        <v>44</v>
      </c>
      <c r="E94" s="3" t="s">
        <v>111</v>
      </c>
      <c r="F94" s="3" t="s">
        <v>16</v>
      </c>
      <c r="G94" s="3" t="s">
        <v>195</v>
      </c>
      <c r="H94" s="4">
        <v>46.1</v>
      </c>
      <c r="I94" s="4">
        <v>15.1</v>
      </c>
      <c r="J94" s="4">
        <v>215.0</v>
      </c>
      <c r="K94" s="4">
        <v>5100.0</v>
      </c>
      <c r="L94" s="3" t="s">
        <v>18</v>
      </c>
    </row>
    <row r="95" ht="22.5" hidden="1" customHeight="1">
      <c r="A95" s="3" t="s">
        <v>12</v>
      </c>
      <c r="B95" s="4">
        <v>27.0</v>
      </c>
      <c r="C95" s="5" t="s">
        <v>271</v>
      </c>
      <c r="D95" s="3" t="s">
        <v>44</v>
      </c>
      <c r="E95" s="3" t="s">
        <v>114</v>
      </c>
      <c r="F95" s="3" t="s">
        <v>16</v>
      </c>
      <c r="G95" s="3" t="s">
        <v>195</v>
      </c>
      <c r="H95" s="4">
        <v>44.5</v>
      </c>
      <c r="I95" s="4">
        <v>14.3</v>
      </c>
      <c r="J95" s="4">
        <v>216.0</v>
      </c>
      <c r="K95" s="4">
        <v>4100.0</v>
      </c>
      <c r="L95" s="3" t="s">
        <v>31</v>
      </c>
    </row>
    <row r="96" ht="22.5" hidden="1" customHeight="1">
      <c r="A96" s="3" t="s">
        <v>12</v>
      </c>
      <c r="B96" s="4">
        <v>28.0</v>
      </c>
      <c r="C96" s="5" t="s">
        <v>271</v>
      </c>
      <c r="D96" s="3" t="s">
        <v>44</v>
      </c>
      <c r="E96" s="3" t="s">
        <v>116</v>
      </c>
      <c r="F96" s="3" t="s">
        <v>16</v>
      </c>
      <c r="G96" s="3" t="s">
        <v>195</v>
      </c>
      <c r="H96" s="4">
        <v>47.8</v>
      </c>
      <c r="I96" s="4">
        <v>15.0</v>
      </c>
      <c r="J96" s="4">
        <v>215.0</v>
      </c>
      <c r="K96" s="4">
        <v>5650.0</v>
      </c>
      <c r="L96" s="3" t="s">
        <v>18</v>
      </c>
    </row>
    <row r="97" ht="22.5" hidden="1" customHeight="1">
      <c r="A97" s="3" t="s">
        <v>12</v>
      </c>
      <c r="B97" s="4">
        <v>29.0</v>
      </c>
      <c r="C97" s="5" t="s">
        <v>271</v>
      </c>
      <c r="D97" s="3" t="s">
        <v>44</v>
      </c>
      <c r="E97" s="3" t="s">
        <v>125</v>
      </c>
      <c r="F97" s="3" t="s">
        <v>16</v>
      </c>
      <c r="G97" s="3" t="s">
        <v>195</v>
      </c>
      <c r="H97" s="4">
        <v>48.2</v>
      </c>
      <c r="I97" s="4">
        <v>14.3</v>
      </c>
      <c r="J97" s="4">
        <v>210.0</v>
      </c>
      <c r="K97" s="4">
        <v>4600.0</v>
      </c>
      <c r="L97" s="3" t="s">
        <v>20</v>
      </c>
    </row>
    <row r="98" ht="22.5" hidden="1" customHeight="1">
      <c r="A98" s="3" t="s">
        <v>12</v>
      </c>
      <c r="B98" s="4">
        <v>30.0</v>
      </c>
      <c r="C98" s="5" t="s">
        <v>271</v>
      </c>
      <c r="D98" s="3" t="s">
        <v>44</v>
      </c>
      <c r="E98" s="3" t="s">
        <v>127</v>
      </c>
      <c r="F98" s="3" t="s">
        <v>16</v>
      </c>
      <c r="G98" s="3" t="s">
        <v>195</v>
      </c>
      <c r="H98" s="4">
        <v>50.0</v>
      </c>
      <c r="I98" s="4">
        <v>15.3</v>
      </c>
      <c r="J98" s="4">
        <v>220.0</v>
      </c>
      <c r="K98" s="4">
        <v>5550.0</v>
      </c>
      <c r="L98" s="3" t="s">
        <v>18</v>
      </c>
    </row>
    <row r="99" ht="22.5" hidden="1" customHeight="1">
      <c r="A99" s="3" t="s">
        <v>12</v>
      </c>
      <c r="B99" s="4">
        <v>31.0</v>
      </c>
      <c r="C99" s="5" t="s">
        <v>271</v>
      </c>
      <c r="D99" s="3" t="s">
        <v>44</v>
      </c>
      <c r="E99" s="3" t="s">
        <v>121</v>
      </c>
      <c r="F99" s="3" t="s">
        <v>16</v>
      </c>
      <c r="G99" s="3" t="s">
        <v>195</v>
      </c>
      <c r="H99" s="4">
        <v>47.3</v>
      </c>
      <c r="I99" s="4">
        <v>15.3</v>
      </c>
      <c r="J99" s="4">
        <v>222.0</v>
      </c>
      <c r="K99" s="4">
        <v>5250.0</v>
      </c>
      <c r="L99" s="3" t="s">
        <v>18</v>
      </c>
    </row>
    <row r="100" ht="22.5" hidden="1" customHeight="1">
      <c r="A100" s="3" t="s">
        <v>12</v>
      </c>
      <c r="B100" s="4">
        <v>32.0</v>
      </c>
      <c r="C100" s="5" t="s">
        <v>271</v>
      </c>
      <c r="D100" s="3" t="s">
        <v>44</v>
      </c>
      <c r="E100" s="3" t="s">
        <v>123</v>
      </c>
      <c r="F100" s="3" t="s">
        <v>16</v>
      </c>
      <c r="G100" s="3" t="s">
        <v>195</v>
      </c>
      <c r="H100" s="4">
        <v>42.8</v>
      </c>
      <c r="I100" s="4">
        <v>14.2</v>
      </c>
      <c r="J100" s="4">
        <v>209.0</v>
      </c>
      <c r="K100" s="4">
        <v>4700.0</v>
      </c>
      <c r="L100" s="3" t="s">
        <v>20</v>
      </c>
    </row>
    <row r="101" ht="22.5" hidden="1" customHeight="1">
      <c r="A101" s="3" t="s">
        <v>12</v>
      </c>
      <c r="B101" s="4">
        <v>17.0</v>
      </c>
      <c r="C101" s="5" t="s">
        <v>272</v>
      </c>
      <c r="D101" s="3" t="s">
        <v>56</v>
      </c>
      <c r="E101" s="3" t="s">
        <v>157</v>
      </c>
      <c r="F101" s="3" t="s">
        <v>26</v>
      </c>
      <c r="G101" s="3" t="s">
        <v>230</v>
      </c>
      <c r="H101" s="4">
        <v>50.3</v>
      </c>
      <c r="I101" s="4">
        <v>20.0</v>
      </c>
      <c r="J101" s="4">
        <v>197.0</v>
      </c>
      <c r="K101" s="4">
        <v>3300.0</v>
      </c>
      <c r="L101" s="3" t="s">
        <v>18</v>
      </c>
    </row>
    <row r="102" ht="22.5" hidden="1" customHeight="1">
      <c r="A102" s="3" t="s">
        <v>12</v>
      </c>
      <c r="B102" s="4">
        <v>18.0</v>
      </c>
      <c r="C102" s="5" t="s">
        <v>272</v>
      </c>
      <c r="D102" s="3" t="s">
        <v>56</v>
      </c>
      <c r="E102" s="3" t="s">
        <v>159</v>
      </c>
      <c r="F102" s="3" t="s">
        <v>26</v>
      </c>
      <c r="G102" s="3" t="s">
        <v>230</v>
      </c>
      <c r="H102" s="4">
        <v>58.0</v>
      </c>
      <c r="I102" s="4">
        <v>17.8</v>
      </c>
      <c r="J102" s="4">
        <v>181.0</v>
      </c>
      <c r="K102" s="4">
        <v>3700.0</v>
      </c>
      <c r="L102" s="3" t="s">
        <v>20</v>
      </c>
    </row>
    <row r="103" ht="22.5" hidden="1" customHeight="1">
      <c r="A103" s="3" t="s">
        <v>12</v>
      </c>
      <c r="B103" s="4">
        <v>19.0</v>
      </c>
      <c r="C103" s="5" t="s">
        <v>272</v>
      </c>
      <c r="D103" s="3" t="s">
        <v>56</v>
      </c>
      <c r="E103" s="3" t="s">
        <v>160</v>
      </c>
      <c r="F103" s="3" t="s">
        <v>16</v>
      </c>
      <c r="G103" s="3" t="s">
        <v>230</v>
      </c>
      <c r="H103" s="4">
        <v>46.4</v>
      </c>
      <c r="I103" s="4">
        <v>18.6</v>
      </c>
      <c r="J103" s="4">
        <v>190.0</v>
      </c>
      <c r="K103" s="4">
        <v>3450.0</v>
      </c>
      <c r="L103" s="3" t="s">
        <v>20</v>
      </c>
    </row>
    <row r="104" ht="22.5" hidden="1" customHeight="1">
      <c r="A104" s="3" t="s">
        <v>12</v>
      </c>
      <c r="B104" s="4">
        <v>20.0</v>
      </c>
      <c r="C104" s="5" t="s">
        <v>272</v>
      </c>
      <c r="D104" s="3" t="s">
        <v>56</v>
      </c>
      <c r="E104" s="3" t="s">
        <v>161</v>
      </c>
      <c r="F104" s="3" t="s">
        <v>16</v>
      </c>
      <c r="G104" s="3" t="s">
        <v>230</v>
      </c>
      <c r="H104" s="4">
        <v>49.2</v>
      </c>
      <c r="I104" s="4">
        <v>18.2</v>
      </c>
      <c r="J104" s="4">
        <v>195.0</v>
      </c>
      <c r="K104" s="4">
        <v>4400.0</v>
      </c>
      <c r="L104" s="3" t="s">
        <v>18</v>
      </c>
    </row>
    <row r="105" ht="22.5" hidden="1" customHeight="1">
      <c r="A105" s="3" t="s">
        <v>12</v>
      </c>
      <c r="B105" s="4">
        <v>15.0</v>
      </c>
      <c r="C105" s="5" t="s">
        <v>271</v>
      </c>
      <c r="D105" s="3" t="s">
        <v>44</v>
      </c>
      <c r="E105" s="3" t="s">
        <v>97</v>
      </c>
      <c r="F105" s="3" t="s">
        <v>16</v>
      </c>
      <c r="G105" s="3" t="s">
        <v>196</v>
      </c>
      <c r="H105" s="4">
        <v>45.8</v>
      </c>
      <c r="I105" s="4">
        <v>14.6</v>
      </c>
      <c r="J105" s="4">
        <v>210.0</v>
      </c>
      <c r="K105" s="4">
        <v>4200.0</v>
      </c>
      <c r="L105" s="3" t="s">
        <v>20</v>
      </c>
    </row>
    <row r="106" ht="22.5" hidden="1" customHeight="1">
      <c r="A106" s="3" t="s">
        <v>12</v>
      </c>
      <c r="B106" s="4">
        <v>16.0</v>
      </c>
      <c r="C106" s="5" t="s">
        <v>271</v>
      </c>
      <c r="D106" s="3" t="s">
        <v>44</v>
      </c>
      <c r="E106" s="3" t="s">
        <v>98</v>
      </c>
      <c r="F106" s="3" t="s">
        <v>16</v>
      </c>
      <c r="G106" s="3" t="s">
        <v>196</v>
      </c>
      <c r="H106" s="4">
        <v>49.3</v>
      </c>
      <c r="I106" s="4">
        <v>15.7</v>
      </c>
      <c r="J106" s="4">
        <v>217.0</v>
      </c>
      <c r="K106" s="4">
        <v>5850.0</v>
      </c>
      <c r="L106" s="3" t="s">
        <v>18</v>
      </c>
    </row>
    <row r="107" ht="22.5" hidden="1" customHeight="1">
      <c r="A107" s="3" t="s">
        <v>12</v>
      </c>
      <c r="B107" s="4">
        <v>33.0</v>
      </c>
      <c r="C107" s="5" t="s">
        <v>271</v>
      </c>
      <c r="D107" s="3" t="s">
        <v>44</v>
      </c>
      <c r="E107" s="3" t="s">
        <v>197</v>
      </c>
      <c r="F107" s="3" t="s">
        <v>16</v>
      </c>
      <c r="G107" s="3" t="s">
        <v>196</v>
      </c>
      <c r="H107" s="4">
        <v>45.1</v>
      </c>
      <c r="I107" s="4">
        <v>14.5</v>
      </c>
      <c r="J107" s="4">
        <v>207.0</v>
      </c>
      <c r="K107" s="4">
        <v>5050.0</v>
      </c>
      <c r="L107" s="3" t="s">
        <v>20</v>
      </c>
    </row>
    <row r="108" ht="22.5" hidden="1" customHeight="1">
      <c r="A108" s="3" t="s">
        <v>12</v>
      </c>
      <c r="B108" s="4">
        <v>34.0</v>
      </c>
      <c r="C108" s="5" t="s">
        <v>271</v>
      </c>
      <c r="D108" s="3" t="s">
        <v>44</v>
      </c>
      <c r="E108" s="3" t="s">
        <v>198</v>
      </c>
      <c r="F108" s="3" t="s">
        <v>16</v>
      </c>
      <c r="G108" s="3" t="s">
        <v>196</v>
      </c>
      <c r="H108" s="4">
        <v>59.6</v>
      </c>
      <c r="I108" s="4">
        <v>17.0</v>
      </c>
      <c r="J108" s="4">
        <v>230.0</v>
      </c>
      <c r="K108" s="4">
        <v>6050.0</v>
      </c>
      <c r="L108" s="3" t="s">
        <v>18</v>
      </c>
    </row>
    <row r="109" ht="22.5" hidden="1" customHeight="1">
      <c r="A109" s="3" t="s">
        <v>12</v>
      </c>
      <c r="B109" s="4">
        <v>21.0</v>
      </c>
      <c r="C109" s="5" t="s">
        <v>272</v>
      </c>
      <c r="D109" s="3" t="s">
        <v>56</v>
      </c>
      <c r="E109" s="3" t="s">
        <v>162</v>
      </c>
      <c r="F109" s="3" t="s">
        <v>16</v>
      </c>
      <c r="G109" s="3" t="s">
        <v>196</v>
      </c>
      <c r="H109" s="4">
        <v>42.4</v>
      </c>
      <c r="I109" s="4">
        <v>17.3</v>
      </c>
      <c r="J109" s="4">
        <v>181.0</v>
      </c>
      <c r="K109" s="4">
        <v>3600.0</v>
      </c>
      <c r="L109" s="3" t="s">
        <v>20</v>
      </c>
    </row>
    <row r="110" ht="22.5" hidden="1" customHeight="1">
      <c r="A110" s="3" t="s">
        <v>12</v>
      </c>
      <c r="B110" s="4">
        <v>22.0</v>
      </c>
      <c r="C110" s="5" t="s">
        <v>272</v>
      </c>
      <c r="D110" s="3" t="s">
        <v>56</v>
      </c>
      <c r="E110" s="3" t="s">
        <v>164</v>
      </c>
      <c r="F110" s="3" t="s">
        <v>16</v>
      </c>
      <c r="G110" s="3" t="s">
        <v>196</v>
      </c>
      <c r="H110" s="4">
        <v>48.5</v>
      </c>
      <c r="I110" s="4">
        <v>17.5</v>
      </c>
      <c r="J110" s="4">
        <v>191.0</v>
      </c>
      <c r="K110" s="4">
        <v>3400.0</v>
      </c>
      <c r="L110" s="3" t="s">
        <v>18</v>
      </c>
    </row>
    <row r="111" ht="22.5" customHeight="1">
      <c r="A111" s="3" t="s">
        <v>79</v>
      </c>
      <c r="B111" s="4">
        <v>81.0</v>
      </c>
      <c r="C111" s="5" t="s">
        <v>270</v>
      </c>
      <c r="D111" s="3" t="s">
        <v>14</v>
      </c>
      <c r="E111" s="3" t="s">
        <v>99</v>
      </c>
      <c r="F111" s="3" t="s">
        <v>16</v>
      </c>
      <c r="G111" s="3" t="s">
        <v>100</v>
      </c>
      <c r="H111" s="4">
        <v>34.6</v>
      </c>
      <c r="I111" s="4">
        <v>17.2</v>
      </c>
      <c r="J111" s="4">
        <v>189.0</v>
      </c>
      <c r="K111" s="4">
        <v>3200.0</v>
      </c>
      <c r="L111" s="3" t="s">
        <v>20</v>
      </c>
    </row>
    <row r="112" ht="22.5" customHeight="1">
      <c r="A112" s="3" t="s">
        <v>79</v>
      </c>
      <c r="B112" s="4">
        <v>82.0</v>
      </c>
      <c r="C112" s="5" t="s">
        <v>270</v>
      </c>
      <c r="D112" s="3" t="s">
        <v>14</v>
      </c>
      <c r="E112" s="3" t="s">
        <v>101</v>
      </c>
      <c r="F112" s="3" t="s">
        <v>16</v>
      </c>
      <c r="G112" s="3" t="s">
        <v>100</v>
      </c>
      <c r="H112" s="4">
        <v>42.9</v>
      </c>
      <c r="I112" s="4">
        <v>17.6</v>
      </c>
      <c r="J112" s="4">
        <v>196.0</v>
      </c>
      <c r="K112" s="4">
        <v>4700.0</v>
      </c>
      <c r="L112" s="3" t="s">
        <v>18</v>
      </c>
    </row>
    <row r="113" ht="22.5" customHeight="1">
      <c r="A113" s="3" t="s">
        <v>79</v>
      </c>
      <c r="B113" s="4">
        <v>37.0</v>
      </c>
      <c r="C113" s="5" t="s">
        <v>271</v>
      </c>
      <c r="D113" s="3" t="s">
        <v>44</v>
      </c>
      <c r="E113" s="3" t="s">
        <v>25</v>
      </c>
      <c r="F113" s="3" t="s">
        <v>16</v>
      </c>
      <c r="G113" s="3" t="s">
        <v>100</v>
      </c>
      <c r="H113" s="4">
        <v>42.6</v>
      </c>
      <c r="I113" s="4">
        <v>13.7</v>
      </c>
      <c r="J113" s="4">
        <v>213.0</v>
      </c>
      <c r="K113" s="4">
        <v>4950.0</v>
      </c>
      <c r="L113" s="3" t="s">
        <v>20</v>
      </c>
    </row>
    <row r="114" ht="22.5" customHeight="1">
      <c r="A114" s="3" t="s">
        <v>79</v>
      </c>
      <c r="B114" s="4">
        <v>38.0</v>
      </c>
      <c r="C114" s="5" t="s">
        <v>271</v>
      </c>
      <c r="D114" s="3" t="s">
        <v>44</v>
      </c>
      <c r="E114" s="3" t="s">
        <v>28</v>
      </c>
      <c r="F114" s="3" t="s">
        <v>16</v>
      </c>
      <c r="G114" s="3" t="s">
        <v>100</v>
      </c>
      <c r="H114" s="4">
        <v>44.4</v>
      </c>
      <c r="I114" s="4">
        <v>17.3</v>
      </c>
      <c r="J114" s="4">
        <v>219.0</v>
      </c>
      <c r="K114" s="4">
        <v>5250.0</v>
      </c>
      <c r="L114" s="3" t="s">
        <v>18</v>
      </c>
    </row>
    <row r="115" ht="22.5" customHeight="1">
      <c r="A115" s="3" t="s">
        <v>79</v>
      </c>
      <c r="B115" s="4">
        <v>49.0</v>
      </c>
      <c r="C115" s="5" t="s">
        <v>271</v>
      </c>
      <c r="D115" s="3" t="s">
        <v>44</v>
      </c>
      <c r="E115" s="3" t="s">
        <v>47</v>
      </c>
      <c r="F115" s="3" t="s">
        <v>16</v>
      </c>
      <c r="G115" s="3" t="s">
        <v>100</v>
      </c>
      <c r="H115" s="4">
        <v>44.9</v>
      </c>
      <c r="I115" s="4">
        <v>13.3</v>
      </c>
      <c r="J115" s="4">
        <v>213.0</v>
      </c>
      <c r="K115" s="4">
        <v>5100.0</v>
      </c>
      <c r="L115" s="3" t="s">
        <v>20</v>
      </c>
    </row>
    <row r="116" ht="22.5" customHeight="1">
      <c r="A116" s="3" t="s">
        <v>79</v>
      </c>
      <c r="B116" s="4">
        <v>50.0</v>
      </c>
      <c r="C116" s="5" t="s">
        <v>271</v>
      </c>
      <c r="D116" s="3" t="s">
        <v>44</v>
      </c>
      <c r="E116" s="3" t="s">
        <v>48</v>
      </c>
      <c r="F116" s="3" t="s">
        <v>16</v>
      </c>
      <c r="G116" s="3" t="s">
        <v>100</v>
      </c>
      <c r="H116" s="4">
        <v>45.2</v>
      </c>
      <c r="I116" s="4">
        <v>15.8</v>
      </c>
      <c r="J116" s="4">
        <v>215.0</v>
      </c>
      <c r="K116" s="4">
        <v>5300.0</v>
      </c>
      <c r="L116" s="3" t="s">
        <v>18</v>
      </c>
    </row>
    <row r="117" ht="22.5" customHeight="1">
      <c r="A117" s="3" t="s">
        <v>79</v>
      </c>
      <c r="B117" s="4">
        <v>45.0</v>
      </c>
      <c r="C117" s="5" t="s">
        <v>271</v>
      </c>
      <c r="D117" s="3" t="s">
        <v>44</v>
      </c>
      <c r="E117" s="3" t="s">
        <v>37</v>
      </c>
      <c r="F117" s="3" t="s">
        <v>16</v>
      </c>
      <c r="G117" s="3" t="s">
        <v>201</v>
      </c>
      <c r="H117" s="4">
        <v>50.5</v>
      </c>
      <c r="I117" s="4">
        <v>15.9</v>
      </c>
      <c r="J117" s="4">
        <v>222.0</v>
      </c>
      <c r="K117" s="4">
        <v>5550.0</v>
      </c>
      <c r="L117" s="3" t="s">
        <v>18</v>
      </c>
    </row>
    <row r="118" ht="22.5" customHeight="1">
      <c r="A118" s="3" t="s">
        <v>79</v>
      </c>
      <c r="B118" s="4">
        <v>46.0</v>
      </c>
      <c r="C118" s="5" t="s">
        <v>271</v>
      </c>
      <c r="D118" s="3" t="s">
        <v>44</v>
      </c>
      <c r="E118" s="3" t="s">
        <v>38</v>
      </c>
      <c r="F118" s="3" t="s">
        <v>16</v>
      </c>
      <c r="G118" s="3" t="s">
        <v>201</v>
      </c>
      <c r="H118" s="4">
        <v>43.6</v>
      </c>
      <c r="I118" s="4">
        <v>13.9</v>
      </c>
      <c r="J118" s="4">
        <v>217.0</v>
      </c>
      <c r="K118" s="4">
        <v>4900.0</v>
      </c>
      <c r="L118" s="3" t="s">
        <v>20</v>
      </c>
    </row>
    <row r="119" ht="22.5" customHeight="1">
      <c r="A119" s="3" t="s">
        <v>79</v>
      </c>
      <c r="B119" s="4">
        <v>57.0</v>
      </c>
      <c r="C119" s="5" t="s">
        <v>271</v>
      </c>
      <c r="D119" s="3" t="s">
        <v>44</v>
      </c>
      <c r="E119" s="3" t="s">
        <v>206</v>
      </c>
      <c r="F119" s="3" t="s">
        <v>16</v>
      </c>
      <c r="G119" s="3" t="s">
        <v>201</v>
      </c>
      <c r="H119" s="4">
        <v>43.8</v>
      </c>
      <c r="I119" s="4">
        <v>13.9</v>
      </c>
      <c r="J119" s="4">
        <v>208.0</v>
      </c>
      <c r="K119" s="4">
        <v>4300.0</v>
      </c>
      <c r="L119" s="3" t="s">
        <v>20</v>
      </c>
    </row>
    <row r="120" ht="22.5" customHeight="1">
      <c r="A120" s="3" t="s">
        <v>79</v>
      </c>
      <c r="B120" s="4">
        <v>58.0</v>
      </c>
      <c r="C120" s="5" t="s">
        <v>271</v>
      </c>
      <c r="D120" s="3" t="s">
        <v>44</v>
      </c>
      <c r="E120" s="3" t="s">
        <v>207</v>
      </c>
      <c r="F120" s="3" t="s">
        <v>16</v>
      </c>
      <c r="G120" s="3" t="s">
        <v>201</v>
      </c>
      <c r="H120" s="4">
        <v>45.5</v>
      </c>
      <c r="I120" s="4">
        <v>15.0</v>
      </c>
      <c r="J120" s="4">
        <v>220.0</v>
      </c>
      <c r="K120" s="4">
        <v>5000.0</v>
      </c>
      <c r="L120" s="3" t="s">
        <v>18</v>
      </c>
    </row>
    <row r="121" ht="22.5" customHeight="1">
      <c r="A121" s="3" t="s">
        <v>79</v>
      </c>
      <c r="B121" s="4">
        <v>61.0</v>
      </c>
      <c r="C121" s="5" t="s">
        <v>271</v>
      </c>
      <c r="D121" s="3" t="s">
        <v>44</v>
      </c>
      <c r="E121" s="3" t="s">
        <v>54</v>
      </c>
      <c r="F121" s="3" t="s">
        <v>16</v>
      </c>
      <c r="G121" s="3" t="s">
        <v>201</v>
      </c>
      <c r="H121" s="4">
        <v>45.3</v>
      </c>
      <c r="I121" s="4">
        <v>13.8</v>
      </c>
      <c r="J121" s="4">
        <v>208.0</v>
      </c>
      <c r="K121" s="4">
        <v>4200.0</v>
      </c>
      <c r="L121" s="3" t="s">
        <v>20</v>
      </c>
    </row>
    <row r="122" ht="22.5" customHeight="1">
      <c r="A122" s="3" t="s">
        <v>79</v>
      </c>
      <c r="B122" s="4">
        <v>62.0</v>
      </c>
      <c r="C122" s="5" t="s">
        <v>271</v>
      </c>
      <c r="D122" s="3" t="s">
        <v>44</v>
      </c>
      <c r="E122" s="3" t="s">
        <v>55</v>
      </c>
      <c r="F122" s="3" t="s">
        <v>16</v>
      </c>
      <c r="G122" s="3" t="s">
        <v>201</v>
      </c>
      <c r="H122" s="4">
        <v>46.2</v>
      </c>
      <c r="I122" s="4">
        <v>14.9</v>
      </c>
      <c r="J122" s="4">
        <v>221.0</v>
      </c>
      <c r="K122" s="4">
        <v>5300.0</v>
      </c>
      <c r="L122" s="3" t="s">
        <v>18</v>
      </c>
    </row>
    <row r="123" ht="22.5" customHeight="1">
      <c r="A123" s="3" t="s">
        <v>79</v>
      </c>
      <c r="B123" s="4">
        <v>71.0</v>
      </c>
      <c r="C123" s="5" t="s">
        <v>271</v>
      </c>
      <c r="D123" s="3" t="s">
        <v>44</v>
      </c>
      <c r="E123" s="3" t="s">
        <v>212</v>
      </c>
      <c r="F123" s="3" t="s">
        <v>16</v>
      </c>
      <c r="G123" s="3" t="s">
        <v>201</v>
      </c>
      <c r="H123" s="4">
        <v>47.7</v>
      </c>
      <c r="I123" s="4">
        <v>15.0</v>
      </c>
      <c r="J123" s="4">
        <v>216.0</v>
      </c>
      <c r="K123" s="4">
        <v>4750.0</v>
      </c>
      <c r="L123" s="3" t="s">
        <v>20</v>
      </c>
    </row>
    <row r="124" ht="22.5" customHeight="1">
      <c r="A124" s="3" t="s">
        <v>79</v>
      </c>
      <c r="B124" s="4">
        <v>72.0</v>
      </c>
      <c r="C124" s="5" t="s">
        <v>271</v>
      </c>
      <c r="D124" s="3" t="s">
        <v>44</v>
      </c>
      <c r="E124" s="3" t="s">
        <v>213</v>
      </c>
      <c r="F124" s="3" t="s">
        <v>16</v>
      </c>
      <c r="G124" s="3" t="s">
        <v>201</v>
      </c>
      <c r="H124" s="4">
        <v>46.4</v>
      </c>
      <c r="I124" s="4">
        <v>15.6</v>
      </c>
      <c r="J124" s="4">
        <v>221.0</v>
      </c>
      <c r="K124" s="4">
        <v>5000.0</v>
      </c>
      <c r="L124" s="3" t="s">
        <v>18</v>
      </c>
    </row>
    <row r="125" ht="22.5" customHeight="1">
      <c r="A125" s="3" t="s">
        <v>79</v>
      </c>
      <c r="B125" s="4">
        <v>41.0</v>
      </c>
      <c r="C125" s="5" t="s">
        <v>271</v>
      </c>
      <c r="D125" s="3" t="s">
        <v>44</v>
      </c>
      <c r="E125" s="3" t="s">
        <v>33</v>
      </c>
      <c r="F125" s="3" t="s">
        <v>26</v>
      </c>
      <c r="G125" s="3" t="s">
        <v>200</v>
      </c>
      <c r="H125" s="4">
        <v>42.7</v>
      </c>
      <c r="I125" s="4">
        <v>13.7</v>
      </c>
      <c r="J125" s="4">
        <v>208.0</v>
      </c>
      <c r="K125" s="4">
        <v>3950.0</v>
      </c>
      <c r="L125" s="3" t="s">
        <v>20</v>
      </c>
    </row>
    <row r="126" ht="22.5" customHeight="1">
      <c r="A126" s="3" t="s">
        <v>79</v>
      </c>
      <c r="B126" s="4">
        <v>42.0</v>
      </c>
      <c r="C126" s="5" t="s">
        <v>271</v>
      </c>
      <c r="D126" s="3" t="s">
        <v>44</v>
      </c>
      <c r="E126" s="3" t="s">
        <v>34</v>
      </c>
      <c r="F126" s="3" t="s">
        <v>26</v>
      </c>
      <c r="G126" s="3" t="s">
        <v>200</v>
      </c>
      <c r="H126" s="4">
        <v>49.6</v>
      </c>
      <c r="I126" s="4">
        <v>16.0</v>
      </c>
      <c r="J126" s="4">
        <v>225.0</v>
      </c>
      <c r="K126" s="4">
        <v>5700.0</v>
      </c>
      <c r="L126" s="3" t="s">
        <v>18</v>
      </c>
    </row>
    <row r="127" ht="22.5" customHeight="1">
      <c r="A127" s="3" t="s">
        <v>79</v>
      </c>
      <c r="B127" s="4">
        <v>43.0</v>
      </c>
      <c r="C127" s="5" t="s">
        <v>271</v>
      </c>
      <c r="D127" s="3" t="s">
        <v>44</v>
      </c>
      <c r="E127" s="3" t="s">
        <v>35</v>
      </c>
      <c r="F127" s="3" t="s">
        <v>16</v>
      </c>
      <c r="G127" s="3" t="s">
        <v>200</v>
      </c>
      <c r="H127" s="4">
        <v>45.3</v>
      </c>
      <c r="I127" s="4">
        <v>13.7</v>
      </c>
      <c r="J127" s="4">
        <v>210.0</v>
      </c>
      <c r="K127" s="4">
        <v>4300.0</v>
      </c>
      <c r="L127" s="3" t="s">
        <v>20</v>
      </c>
    </row>
    <row r="128" ht="22.5" customHeight="1">
      <c r="A128" s="3" t="s">
        <v>79</v>
      </c>
      <c r="B128" s="4">
        <v>44.0</v>
      </c>
      <c r="C128" s="5" t="s">
        <v>271</v>
      </c>
      <c r="D128" s="3" t="s">
        <v>44</v>
      </c>
      <c r="E128" s="3" t="s">
        <v>36</v>
      </c>
      <c r="F128" s="3" t="s">
        <v>16</v>
      </c>
      <c r="G128" s="3" t="s">
        <v>200</v>
      </c>
      <c r="H128" s="4">
        <v>49.6</v>
      </c>
      <c r="I128" s="4">
        <v>15.0</v>
      </c>
      <c r="J128" s="4">
        <v>216.0</v>
      </c>
      <c r="K128" s="4">
        <v>4750.0</v>
      </c>
      <c r="L128" s="3" t="s">
        <v>18</v>
      </c>
    </row>
    <row r="129" ht="22.5" customHeight="1">
      <c r="A129" s="3" t="s">
        <v>79</v>
      </c>
      <c r="B129" s="4">
        <v>51.0</v>
      </c>
      <c r="C129" s="5" t="s">
        <v>271</v>
      </c>
      <c r="D129" s="3" t="s">
        <v>44</v>
      </c>
      <c r="E129" s="3" t="s">
        <v>49</v>
      </c>
      <c r="F129" s="3" t="s">
        <v>16</v>
      </c>
      <c r="G129" s="3" t="s">
        <v>200</v>
      </c>
      <c r="H129" s="4">
        <v>46.6</v>
      </c>
      <c r="I129" s="4">
        <v>14.2</v>
      </c>
      <c r="J129" s="4">
        <v>210.0</v>
      </c>
      <c r="K129" s="4">
        <v>4850.0</v>
      </c>
      <c r="L129" s="3" t="s">
        <v>20</v>
      </c>
    </row>
    <row r="130" ht="22.5" customHeight="1">
      <c r="A130" s="3" t="s">
        <v>79</v>
      </c>
      <c r="B130" s="4">
        <v>52.0</v>
      </c>
      <c r="C130" s="5" t="s">
        <v>271</v>
      </c>
      <c r="D130" s="3" t="s">
        <v>44</v>
      </c>
      <c r="E130" s="3" t="s">
        <v>51</v>
      </c>
      <c r="F130" s="3" t="s">
        <v>16</v>
      </c>
      <c r="G130" s="3" t="s">
        <v>200</v>
      </c>
      <c r="H130" s="4">
        <v>48.5</v>
      </c>
      <c r="I130" s="4">
        <v>14.1</v>
      </c>
      <c r="J130" s="4">
        <v>220.0</v>
      </c>
      <c r="K130" s="4">
        <v>5300.0</v>
      </c>
      <c r="L130" s="3" t="s">
        <v>18</v>
      </c>
    </row>
    <row r="131" ht="22.5" customHeight="1">
      <c r="A131" s="3" t="s">
        <v>79</v>
      </c>
      <c r="B131" s="4">
        <v>53.0</v>
      </c>
      <c r="C131" s="5" t="s">
        <v>271</v>
      </c>
      <c r="D131" s="3" t="s">
        <v>44</v>
      </c>
      <c r="E131" s="3" t="s">
        <v>202</v>
      </c>
      <c r="F131" s="3" t="s">
        <v>16</v>
      </c>
      <c r="G131" s="3" t="s">
        <v>200</v>
      </c>
      <c r="H131" s="4">
        <v>45.1</v>
      </c>
      <c r="I131" s="4">
        <v>14.4</v>
      </c>
      <c r="J131" s="4">
        <v>210.0</v>
      </c>
      <c r="K131" s="4">
        <v>4400.0</v>
      </c>
      <c r="L131" s="3" t="s">
        <v>20</v>
      </c>
    </row>
    <row r="132" ht="22.5" customHeight="1">
      <c r="A132" s="3" t="s">
        <v>79</v>
      </c>
      <c r="B132" s="4">
        <v>54.0</v>
      </c>
      <c r="C132" s="5" t="s">
        <v>271</v>
      </c>
      <c r="D132" s="3" t="s">
        <v>44</v>
      </c>
      <c r="E132" s="3" t="s">
        <v>203</v>
      </c>
      <c r="F132" s="3" t="s">
        <v>16</v>
      </c>
      <c r="G132" s="3" t="s">
        <v>200</v>
      </c>
      <c r="H132" s="4">
        <v>50.1</v>
      </c>
      <c r="I132" s="4">
        <v>15.0</v>
      </c>
      <c r="J132" s="4">
        <v>225.0</v>
      </c>
      <c r="K132" s="4">
        <v>5000.0</v>
      </c>
      <c r="L132" s="3" t="s">
        <v>18</v>
      </c>
    </row>
    <row r="133" ht="22.5" customHeight="1">
      <c r="A133" s="3" t="s">
        <v>79</v>
      </c>
      <c r="B133" s="4">
        <v>55.0</v>
      </c>
      <c r="C133" s="5" t="s">
        <v>271</v>
      </c>
      <c r="D133" s="3" t="s">
        <v>44</v>
      </c>
      <c r="E133" s="3" t="s">
        <v>204</v>
      </c>
      <c r="F133" s="3" t="s">
        <v>16</v>
      </c>
      <c r="G133" s="3" t="s">
        <v>200</v>
      </c>
      <c r="H133" s="4">
        <v>46.5</v>
      </c>
      <c r="I133" s="4">
        <v>14.4</v>
      </c>
      <c r="J133" s="4">
        <v>217.0</v>
      </c>
      <c r="K133" s="4">
        <v>4900.0</v>
      </c>
      <c r="L133" s="3" t="s">
        <v>20</v>
      </c>
    </row>
    <row r="134" ht="22.5" customHeight="1">
      <c r="A134" s="3" t="s">
        <v>79</v>
      </c>
      <c r="B134" s="4">
        <v>56.0</v>
      </c>
      <c r="C134" s="5" t="s">
        <v>271</v>
      </c>
      <c r="D134" s="3" t="s">
        <v>44</v>
      </c>
      <c r="E134" s="3" t="s">
        <v>205</v>
      </c>
      <c r="F134" s="3" t="s">
        <v>16</v>
      </c>
      <c r="G134" s="3" t="s">
        <v>200</v>
      </c>
      <c r="H134" s="4">
        <v>45.0</v>
      </c>
      <c r="I134" s="4">
        <v>15.4</v>
      </c>
      <c r="J134" s="4">
        <v>220.0</v>
      </c>
      <c r="K134" s="4">
        <v>5050.0</v>
      </c>
      <c r="L134" s="3" t="s">
        <v>18</v>
      </c>
    </row>
    <row r="135" ht="22.5" customHeight="1">
      <c r="A135" s="3" t="s">
        <v>79</v>
      </c>
      <c r="B135" s="4">
        <v>65.0</v>
      </c>
      <c r="C135" s="5" t="s">
        <v>271</v>
      </c>
      <c r="D135" s="3" t="s">
        <v>44</v>
      </c>
      <c r="E135" s="3" t="s">
        <v>210</v>
      </c>
      <c r="F135" s="3" t="s">
        <v>16</v>
      </c>
      <c r="G135" s="3" t="s">
        <v>200</v>
      </c>
      <c r="H135" s="4">
        <v>45.8</v>
      </c>
      <c r="I135" s="4">
        <v>14.2</v>
      </c>
      <c r="J135" s="4">
        <v>219.0</v>
      </c>
      <c r="K135" s="4">
        <v>4700.0</v>
      </c>
      <c r="L135" s="3" t="s">
        <v>20</v>
      </c>
    </row>
    <row r="136" ht="22.5" customHeight="1">
      <c r="A136" s="3" t="s">
        <v>79</v>
      </c>
      <c r="B136" s="4">
        <v>66.0</v>
      </c>
      <c r="C136" s="5" t="s">
        <v>271</v>
      </c>
      <c r="D136" s="3" t="s">
        <v>44</v>
      </c>
      <c r="E136" s="3" t="s">
        <v>211</v>
      </c>
      <c r="F136" s="3" t="s">
        <v>16</v>
      </c>
      <c r="G136" s="3" t="s">
        <v>200</v>
      </c>
      <c r="H136" s="4">
        <v>49.8</v>
      </c>
      <c r="I136" s="4">
        <v>16.8</v>
      </c>
      <c r="J136" s="4">
        <v>230.0</v>
      </c>
      <c r="K136" s="4">
        <v>5700.0</v>
      </c>
      <c r="L136" s="3" t="s">
        <v>18</v>
      </c>
    </row>
    <row r="137" ht="22.5" customHeight="1">
      <c r="A137" s="3" t="s">
        <v>79</v>
      </c>
      <c r="B137" s="4">
        <v>93.0</v>
      </c>
      <c r="C137" s="5" t="s">
        <v>270</v>
      </c>
      <c r="D137" s="3" t="s">
        <v>56</v>
      </c>
      <c r="E137" s="3" t="s">
        <v>114</v>
      </c>
      <c r="F137" s="3" t="s">
        <v>16</v>
      </c>
      <c r="G137" s="3" t="s">
        <v>115</v>
      </c>
      <c r="H137" s="4">
        <v>34.0</v>
      </c>
      <c r="I137" s="4">
        <v>17.1</v>
      </c>
      <c r="J137" s="4">
        <v>185.0</v>
      </c>
      <c r="K137" s="4">
        <v>3400.0</v>
      </c>
      <c r="L137" s="3" t="s">
        <v>20</v>
      </c>
    </row>
    <row r="138" ht="22.5" customHeight="1">
      <c r="A138" s="3" t="s">
        <v>79</v>
      </c>
      <c r="B138" s="4">
        <v>94.0</v>
      </c>
      <c r="C138" s="5" t="s">
        <v>270</v>
      </c>
      <c r="D138" s="3" t="s">
        <v>56</v>
      </c>
      <c r="E138" s="3" t="s">
        <v>116</v>
      </c>
      <c r="F138" s="3" t="s">
        <v>16</v>
      </c>
      <c r="G138" s="3" t="s">
        <v>115</v>
      </c>
      <c r="H138" s="4">
        <v>39.6</v>
      </c>
      <c r="I138" s="4">
        <v>18.1</v>
      </c>
      <c r="J138" s="4">
        <v>186.0</v>
      </c>
      <c r="K138" s="4">
        <v>4450.0</v>
      </c>
      <c r="L138" s="3" t="s">
        <v>18</v>
      </c>
    </row>
    <row r="139" ht="22.5" customHeight="1">
      <c r="A139" s="3" t="s">
        <v>79</v>
      </c>
      <c r="B139" s="4">
        <v>51.0</v>
      </c>
      <c r="C139" s="5" t="s">
        <v>270</v>
      </c>
      <c r="D139" s="3" t="s">
        <v>44</v>
      </c>
      <c r="E139" s="3" t="s">
        <v>57</v>
      </c>
      <c r="F139" s="3" t="s">
        <v>16</v>
      </c>
      <c r="G139" s="3" t="s">
        <v>80</v>
      </c>
      <c r="H139" s="4">
        <v>39.6</v>
      </c>
      <c r="I139" s="4">
        <v>17.7</v>
      </c>
      <c r="J139" s="4">
        <v>186.0</v>
      </c>
      <c r="K139" s="4">
        <v>3500.0</v>
      </c>
      <c r="L139" s="3" t="s">
        <v>20</v>
      </c>
    </row>
    <row r="140" ht="22.5" customHeight="1">
      <c r="A140" s="3" t="s">
        <v>79</v>
      </c>
      <c r="B140" s="4">
        <v>52.0</v>
      </c>
      <c r="C140" s="5" t="s">
        <v>270</v>
      </c>
      <c r="D140" s="3" t="s">
        <v>44</v>
      </c>
      <c r="E140" s="3" t="s">
        <v>58</v>
      </c>
      <c r="F140" s="3" t="s">
        <v>16</v>
      </c>
      <c r="G140" s="3" t="s">
        <v>80</v>
      </c>
      <c r="H140" s="4">
        <v>40.1</v>
      </c>
      <c r="I140" s="4">
        <v>18.9</v>
      </c>
      <c r="J140" s="4">
        <v>188.0</v>
      </c>
      <c r="K140" s="4">
        <v>4300.0</v>
      </c>
      <c r="L140" s="3" t="s">
        <v>18</v>
      </c>
    </row>
    <row r="141" ht="22.5" customHeight="1">
      <c r="A141" s="3" t="s">
        <v>79</v>
      </c>
      <c r="B141" s="4">
        <v>67.0</v>
      </c>
      <c r="C141" s="5" t="s">
        <v>270</v>
      </c>
      <c r="D141" s="3" t="s">
        <v>44</v>
      </c>
      <c r="E141" s="3" t="s">
        <v>77</v>
      </c>
      <c r="F141" s="3" t="s">
        <v>16</v>
      </c>
      <c r="G141" s="3" t="s">
        <v>80</v>
      </c>
      <c r="H141" s="4">
        <v>35.5</v>
      </c>
      <c r="I141" s="4">
        <v>16.2</v>
      </c>
      <c r="J141" s="4">
        <v>195.0</v>
      </c>
      <c r="K141" s="4">
        <v>3350.0</v>
      </c>
      <c r="L141" s="3" t="s">
        <v>20</v>
      </c>
    </row>
    <row r="142" ht="22.5" customHeight="1">
      <c r="A142" s="3" t="s">
        <v>79</v>
      </c>
      <c r="B142" s="4">
        <v>68.0</v>
      </c>
      <c r="C142" s="5" t="s">
        <v>270</v>
      </c>
      <c r="D142" s="3" t="s">
        <v>44</v>
      </c>
      <c r="E142" s="3" t="s">
        <v>78</v>
      </c>
      <c r="F142" s="3" t="s">
        <v>16</v>
      </c>
      <c r="G142" s="3" t="s">
        <v>80</v>
      </c>
      <c r="H142" s="4">
        <v>41.1</v>
      </c>
      <c r="I142" s="4">
        <v>19.1</v>
      </c>
      <c r="J142" s="4">
        <v>188.0</v>
      </c>
      <c r="K142" s="4">
        <v>4100.0</v>
      </c>
      <c r="L142" s="3" t="s">
        <v>18</v>
      </c>
    </row>
    <row r="143" ht="22.5" customHeight="1">
      <c r="A143" s="3" t="s">
        <v>79</v>
      </c>
      <c r="B143" s="4">
        <v>77.0</v>
      </c>
      <c r="C143" s="5" t="s">
        <v>270</v>
      </c>
      <c r="D143" s="3" t="s">
        <v>14</v>
      </c>
      <c r="E143" s="3" t="s">
        <v>95</v>
      </c>
      <c r="F143" s="3" t="s">
        <v>16</v>
      </c>
      <c r="G143" s="3" t="s">
        <v>80</v>
      </c>
      <c r="H143" s="4">
        <v>40.9</v>
      </c>
      <c r="I143" s="4">
        <v>16.8</v>
      </c>
      <c r="J143" s="4">
        <v>191.0</v>
      </c>
      <c r="K143" s="4">
        <v>3700.0</v>
      </c>
      <c r="L143" s="3" t="s">
        <v>20</v>
      </c>
    </row>
    <row r="144" ht="22.5" customHeight="1">
      <c r="A144" s="3" t="s">
        <v>79</v>
      </c>
      <c r="B144" s="4">
        <v>78.0</v>
      </c>
      <c r="C144" s="5" t="s">
        <v>270</v>
      </c>
      <c r="D144" s="3" t="s">
        <v>14</v>
      </c>
      <c r="E144" s="3" t="s">
        <v>96</v>
      </c>
      <c r="F144" s="3" t="s">
        <v>16</v>
      </c>
      <c r="G144" s="3" t="s">
        <v>80</v>
      </c>
      <c r="H144" s="4">
        <v>37.2</v>
      </c>
      <c r="I144" s="4">
        <v>19.4</v>
      </c>
      <c r="J144" s="4">
        <v>184.0</v>
      </c>
      <c r="K144" s="4">
        <v>3900.0</v>
      </c>
      <c r="L144" s="3" t="s">
        <v>18</v>
      </c>
    </row>
    <row r="145" ht="22.5" customHeight="1">
      <c r="A145" s="3" t="s">
        <v>79</v>
      </c>
      <c r="B145" s="4">
        <v>59.0</v>
      </c>
      <c r="C145" s="5" t="s">
        <v>271</v>
      </c>
      <c r="D145" s="3" t="s">
        <v>44</v>
      </c>
      <c r="E145" s="3" t="s">
        <v>52</v>
      </c>
      <c r="F145" s="3" t="s">
        <v>16</v>
      </c>
      <c r="G145" s="3" t="s">
        <v>80</v>
      </c>
      <c r="H145" s="4">
        <v>43.2</v>
      </c>
      <c r="I145" s="4">
        <v>14.5</v>
      </c>
      <c r="J145" s="4">
        <v>208.0</v>
      </c>
      <c r="K145" s="4">
        <v>4450.0</v>
      </c>
      <c r="L145" s="3" t="s">
        <v>20</v>
      </c>
    </row>
    <row r="146" ht="22.5" customHeight="1">
      <c r="A146" s="3" t="s">
        <v>79</v>
      </c>
      <c r="B146" s="4">
        <v>60.0</v>
      </c>
      <c r="C146" s="5" t="s">
        <v>271</v>
      </c>
      <c r="D146" s="3" t="s">
        <v>44</v>
      </c>
      <c r="E146" s="3" t="s">
        <v>53</v>
      </c>
      <c r="F146" s="3" t="s">
        <v>16</v>
      </c>
      <c r="G146" s="3" t="s">
        <v>80</v>
      </c>
      <c r="H146" s="4">
        <v>50.4</v>
      </c>
      <c r="I146" s="4">
        <v>15.3</v>
      </c>
      <c r="J146" s="4">
        <v>224.0</v>
      </c>
      <c r="K146" s="4">
        <v>5550.0</v>
      </c>
      <c r="L146" s="3" t="s">
        <v>18</v>
      </c>
    </row>
    <row r="147" ht="22.5" customHeight="1">
      <c r="A147" s="3" t="s">
        <v>79</v>
      </c>
      <c r="B147" s="4">
        <v>75.0</v>
      </c>
      <c r="C147" s="5" t="s">
        <v>271</v>
      </c>
      <c r="D147" s="3" t="s">
        <v>44</v>
      </c>
      <c r="E147" s="3" t="s">
        <v>197</v>
      </c>
      <c r="F147" s="3" t="s">
        <v>16</v>
      </c>
      <c r="G147" s="3" t="s">
        <v>80</v>
      </c>
      <c r="H147" s="4">
        <v>46.4</v>
      </c>
      <c r="I147" s="4">
        <v>15.0</v>
      </c>
      <c r="J147" s="4">
        <v>216.0</v>
      </c>
      <c r="K147" s="4">
        <v>4700.0</v>
      </c>
      <c r="L147" s="3" t="s">
        <v>20</v>
      </c>
    </row>
    <row r="148" ht="22.5" customHeight="1">
      <c r="A148" s="3" t="s">
        <v>79</v>
      </c>
      <c r="B148" s="4">
        <v>76.0</v>
      </c>
      <c r="C148" s="5" t="s">
        <v>271</v>
      </c>
      <c r="D148" s="3" t="s">
        <v>44</v>
      </c>
      <c r="E148" s="3" t="s">
        <v>198</v>
      </c>
      <c r="F148" s="3" t="s">
        <v>16</v>
      </c>
      <c r="G148" s="3" t="s">
        <v>80</v>
      </c>
      <c r="H148" s="4">
        <v>48.6</v>
      </c>
      <c r="I148" s="4">
        <v>16.0</v>
      </c>
      <c r="J148" s="4">
        <v>230.0</v>
      </c>
      <c r="K148" s="4">
        <v>5800.0</v>
      </c>
      <c r="L148" s="3" t="s">
        <v>18</v>
      </c>
    </row>
    <row r="149" ht="22.5" customHeight="1">
      <c r="A149" s="3" t="s">
        <v>79</v>
      </c>
      <c r="B149" s="4">
        <v>77.0</v>
      </c>
      <c r="C149" s="5" t="s">
        <v>271</v>
      </c>
      <c r="D149" s="3" t="s">
        <v>44</v>
      </c>
      <c r="E149" s="3" t="s">
        <v>136</v>
      </c>
      <c r="F149" s="3" t="s">
        <v>16</v>
      </c>
      <c r="G149" s="3" t="s">
        <v>80</v>
      </c>
      <c r="H149" s="4">
        <v>47.5</v>
      </c>
      <c r="I149" s="4">
        <v>14.2</v>
      </c>
      <c r="J149" s="4">
        <v>209.0</v>
      </c>
      <c r="K149" s="4">
        <v>4600.0</v>
      </c>
      <c r="L149" s="3" t="s">
        <v>20</v>
      </c>
    </row>
    <row r="150" ht="22.5" customHeight="1">
      <c r="A150" s="3" t="s">
        <v>79</v>
      </c>
      <c r="B150" s="4">
        <v>78.0</v>
      </c>
      <c r="C150" s="5" t="s">
        <v>271</v>
      </c>
      <c r="D150" s="3" t="s">
        <v>44</v>
      </c>
      <c r="E150" s="3" t="s">
        <v>138</v>
      </c>
      <c r="F150" s="3" t="s">
        <v>16</v>
      </c>
      <c r="G150" s="3" t="s">
        <v>80</v>
      </c>
      <c r="H150" s="4">
        <v>51.1</v>
      </c>
      <c r="I150" s="4">
        <v>16.3</v>
      </c>
      <c r="J150" s="4">
        <v>220.0</v>
      </c>
      <c r="K150" s="4">
        <v>6000.0</v>
      </c>
      <c r="L150" s="3" t="s">
        <v>18</v>
      </c>
    </row>
    <row r="151" ht="22.5" customHeight="1">
      <c r="A151" s="3" t="s">
        <v>79</v>
      </c>
      <c r="B151" s="4">
        <v>83.0</v>
      </c>
      <c r="C151" s="5" t="s">
        <v>270</v>
      </c>
      <c r="D151" s="3" t="s">
        <v>14</v>
      </c>
      <c r="E151" s="3" t="s">
        <v>102</v>
      </c>
      <c r="F151" s="3" t="s">
        <v>16</v>
      </c>
      <c r="G151" s="3" t="s">
        <v>103</v>
      </c>
      <c r="H151" s="4">
        <v>36.7</v>
      </c>
      <c r="I151" s="4">
        <v>18.8</v>
      </c>
      <c r="J151" s="4">
        <v>187.0</v>
      </c>
      <c r="K151" s="4">
        <v>3800.0</v>
      </c>
      <c r="L151" s="3" t="s">
        <v>20</v>
      </c>
    </row>
    <row r="152" ht="22.5" customHeight="1">
      <c r="A152" s="3" t="s">
        <v>79</v>
      </c>
      <c r="B152" s="4">
        <v>84.0</v>
      </c>
      <c r="C152" s="5" t="s">
        <v>270</v>
      </c>
      <c r="D152" s="3" t="s">
        <v>14</v>
      </c>
      <c r="E152" s="3" t="s">
        <v>104</v>
      </c>
      <c r="F152" s="3" t="s">
        <v>16</v>
      </c>
      <c r="G152" s="3" t="s">
        <v>103</v>
      </c>
      <c r="H152" s="4">
        <v>35.1</v>
      </c>
      <c r="I152" s="4">
        <v>19.4</v>
      </c>
      <c r="J152" s="4">
        <v>193.0</v>
      </c>
      <c r="K152" s="4">
        <v>4200.0</v>
      </c>
      <c r="L152" s="3" t="s">
        <v>18</v>
      </c>
    </row>
    <row r="153" ht="22.5" customHeight="1">
      <c r="A153" s="3" t="s">
        <v>79</v>
      </c>
      <c r="B153" s="4">
        <v>75.0</v>
      </c>
      <c r="C153" s="5" t="s">
        <v>270</v>
      </c>
      <c r="D153" s="3" t="s">
        <v>14</v>
      </c>
      <c r="E153" s="3" t="s">
        <v>92</v>
      </c>
      <c r="F153" s="3" t="s">
        <v>16</v>
      </c>
      <c r="G153" s="3" t="s">
        <v>93</v>
      </c>
      <c r="H153" s="4">
        <v>35.5</v>
      </c>
      <c r="I153" s="4">
        <v>17.5</v>
      </c>
      <c r="J153" s="4">
        <v>190.0</v>
      </c>
      <c r="K153" s="4">
        <v>3700.0</v>
      </c>
      <c r="L153" s="3" t="s">
        <v>20</v>
      </c>
    </row>
    <row r="154" ht="22.5" customHeight="1">
      <c r="A154" s="3" t="s">
        <v>79</v>
      </c>
      <c r="B154" s="4">
        <v>76.0</v>
      </c>
      <c r="C154" s="5" t="s">
        <v>270</v>
      </c>
      <c r="D154" s="3" t="s">
        <v>14</v>
      </c>
      <c r="E154" s="3" t="s">
        <v>94</v>
      </c>
      <c r="F154" s="3" t="s">
        <v>16</v>
      </c>
      <c r="G154" s="3" t="s">
        <v>93</v>
      </c>
      <c r="H154" s="4">
        <v>42.8</v>
      </c>
      <c r="I154" s="4">
        <v>18.5</v>
      </c>
      <c r="J154" s="4">
        <v>195.0</v>
      </c>
      <c r="K154" s="4">
        <v>4250.0</v>
      </c>
      <c r="L154" s="3" t="s">
        <v>18</v>
      </c>
    </row>
    <row r="155" ht="22.5" customHeight="1">
      <c r="A155" s="3" t="s">
        <v>79</v>
      </c>
      <c r="B155" s="4">
        <v>87.0</v>
      </c>
      <c r="C155" s="5" t="s">
        <v>270</v>
      </c>
      <c r="D155" s="3" t="s">
        <v>56</v>
      </c>
      <c r="E155" s="3" t="s">
        <v>108</v>
      </c>
      <c r="F155" s="3" t="s">
        <v>16</v>
      </c>
      <c r="G155" s="3" t="s">
        <v>93</v>
      </c>
      <c r="H155" s="4">
        <v>36.3</v>
      </c>
      <c r="I155" s="4">
        <v>19.5</v>
      </c>
      <c r="J155" s="4">
        <v>190.0</v>
      </c>
      <c r="K155" s="4">
        <v>3800.0</v>
      </c>
      <c r="L155" s="3" t="s">
        <v>18</v>
      </c>
    </row>
    <row r="156" ht="22.5" customHeight="1">
      <c r="A156" s="3" t="s">
        <v>79</v>
      </c>
      <c r="B156" s="4">
        <v>88.0</v>
      </c>
      <c r="C156" s="5" t="s">
        <v>270</v>
      </c>
      <c r="D156" s="3" t="s">
        <v>56</v>
      </c>
      <c r="E156" s="3" t="s">
        <v>109</v>
      </c>
      <c r="F156" s="3" t="s">
        <v>16</v>
      </c>
      <c r="G156" s="3" t="s">
        <v>93</v>
      </c>
      <c r="H156" s="4">
        <v>36.9</v>
      </c>
      <c r="I156" s="4">
        <v>18.6</v>
      </c>
      <c r="J156" s="4">
        <v>189.0</v>
      </c>
      <c r="K156" s="4">
        <v>3500.0</v>
      </c>
      <c r="L156" s="3" t="s">
        <v>20</v>
      </c>
    </row>
    <row r="157" ht="22.5" customHeight="1">
      <c r="A157" s="3" t="s">
        <v>79</v>
      </c>
      <c r="B157" s="4">
        <v>89.0</v>
      </c>
      <c r="C157" s="5" t="s">
        <v>270</v>
      </c>
      <c r="D157" s="3" t="s">
        <v>56</v>
      </c>
      <c r="E157" s="3" t="s">
        <v>110</v>
      </c>
      <c r="F157" s="3" t="s">
        <v>16</v>
      </c>
      <c r="G157" s="3" t="s">
        <v>93</v>
      </c>
      <c r="H157" s="4">
        <v>38.3</v>
      </c>
      <c r="I157" s="4">
        <v>19.2</v>
      </c>
      <c r="J157" s="4">
        <v>189.0</v>
      </c>
      <c r="K157" s="4">
        <v>3950.0</v>
      </c>
      <c r="L157" s="3" t="s">
        <v>18</v>
      </c>
    </row>
    <row r="158" ht="22.5" customHeight="1">
      <c r="A158" s="3" t="s">
        <v>79</v>
      </c>
      <c r="B158" s="4">
        <v>90.0</v>
      </c>
      <c r="C158" s="5" t="s">
        <v>270</v>
      </c>
      <c r="D158" s="3" t="s">
        <v>56</v>
      </c>
      <c r="E158" s="3" t="s">
        <v>111</v>
      </c>
      <c r="F158" s="3" t="s">
        <v>16</v>
      </c>
      <c r="G158" s="3" t="s">
        <v>93</v>
      </c>
      <c r="H158" s="4">
        <v>38.9</v>
      </c>
      <c r="I158" s="4">
        <v>18.8</v>
      </c>
      <c r="J158" s="4">
        <v>190.0</v>
      </c>
      <c r="K158" s="4">
        <v>3600.0</v>
      </c>
      <c r="L158" s="3" t="s">
        <v>20</v>
      </c>
    </row>
    <row r="159" ht="22.5" customHeight="1">
      <c r="A159" s="3" t="s">
        <v>79</v>
      </c>
      <c r="B159" s="4">
        <v>97.0</v>
      </c>
      <c r="C159" s="5" t="s">
        <v>270</v>
      </c>
      <c r="D159" s="3" t="s">
        <v>56</v>
      </c>
      <c r="E159" s="3" t="s">
        <v>119</v>
      </c>
      <c r="F159" s="3" t="s">
        <v>16</v>
      </c>
      <c r="G159" s="3" t="s">
        <v>93</v>
      </c>
      <c r="H159" s="4">
        <v>38.1</v>
      </c>
      <c r="I159" s="4">
        <v>18.6</v>
      </c>
      <c r="J159" s="4">
        <v>190.0</v>
      </c>
      <c r="K159" s="4">
        <v>3700.0</v>
      </c>
      <c r="L159" s="3" t="s">
        <v>20</v>
      </c>
    </row>
    <row r="160" ht="22.5" customHeight="1">
      <c r="A160" s="3" t="s">
        <v>79</v>
      </c>
      <c r="B160" s="4">
        <v>98.0</v>
      </c>
      <c r="C160" s="5" t="s">
        <v>270</v>
      </c>
      <c r="D160" s="3" t="s">
        <v>56</v>
      </c>
      <c r="E160" s="3" t="s">
        <v>120</v>
      </c>
      <c r="F160" s="3" t="s">
        <v>16</v>
      </c>
      <c r="G160" s="3" t="s">
        <v>93</v>
      </c>
      <c r="H160" s="4">
        <v>40.3</v>
      </c>
      <c r="I160" s="4">
        <v>18.5</v>
      </c>
      <c r="J160" s="4">
        <v>196.0</v>
      </c>
      <c r="K160" s="4">
        <v>4350.0</v>
      </c>
      <c r="L160" s="3" t="s">
        <v>18</v>
      </c>
    </row>
    <row r="161" ht="22.5" customHeight="1">
      <c r="A161" s="3" t="s">
        <v>79</v>
      </c>
      <c r="B161" s="4">
        <v>53.0</v>
      </c>
      <c r="C161" s="5" t="s">
        <v>270</v>
      </c>
      <c r="D161" s="3" t="s">
        <v>44</v>
      </c>
      <c r="E161" s="3" t="s">
        <v>59</v>
      </c>
      <c r="F161" s="3" t="s">
        <v>16</v>
      </c>
      <c r="G161" s="3" t="s">
        <v>81</v>
      </c>
      <c r="H161" s="4">
        <v>35.0</v>
      </c>
      <c r="I161" s="4">
        <v>17.9</v>
      </c>
      <c r="J161" s="4">
        <v>190.0</v>
      </c>
      <c r="K161" s="4">
        <v>3450.0</v>
      </c>
      <c r="L161" s="3" t="s">
        <v>20</v>
      </c>
    </row>
    <row r="162" ht="22.5" customHeight="1">
      <c r="A162" s="3" t="s">
        <v>79</v>
      </c>
      <c r="B162" s="4">
        <v>54.0</v>
      </c>
      <c r="C162" s="5" t="s">
        <v>270</v>
      </c>
      <c r="D162" s="3" t="s">
        <v>44</v>
      </c>
      <c r="E162" s="3" t="s">
        <v>60</v>
      </c>
      <c r="F162" s="3" t="s">
        <v>16</v>
      </c>
      <c r="G162" s="3" t="s">
        <v>81</v>
      </c>
      <c r="H162" s="4">
        <v>42.0</v>
      </c>
      <c r="I162" s="4">
        <v>19.5</v>
      </c>
      <c r="J162" s="4">
        <v>200.0</v>
      </c>
      <c r="K162" s="4">
        <v>4050.0</v>
      </c>
      <c r="L162" s="3" t="s">
        <v>18</v>
      </c>
    </row>
    <row r="163" ht="22.5" customHeight="1">
      <c r="A163" s="3" t="s">
        <v>79</v>
      </c>
      <c r="B163" s="4">
        <v>55.0</v>
      </c>
      <c r="C163" s="5" t="s">
        <v>270</v>
      </c>
      <c r="D163" s="3" t="s">
        <v>44</v>
      </c>
      <c r="E163" s="3" t="s">
        <v>61</v>
      </c>
      <c r="F163" s="3" t="s">
        <v>16</v>
      </c>
      <c r="G163" s="3" t="s">
        <v>81</v>
      </c>
      <c r="H163" s="4">
        <v>34.5</v>
      </c>
      <c r="I163" s="4">
        <v>18.1</v>
      </c>
      <c r="J163" s="4">
        <v>187.0</v>
      </c>
      <c r="K163" s="4">
        <v>2900.0</v>
      </c>
      <c r="L163" s="3" t="s">
        <v>20</v>
      </c>
    </row>
    <row r="164" ht="22.5" customHeight="1">
      <c r="A164" s="3" t="s">
        <v>79</v>
      </c>
      <c r="B164" s="4">
        <v>56.0</v>
      </c>
      <c r="C164" s="5" t="s">
        <v>270</v>
      </c>
      <c r="D164" s="3" t="s">
        <v>44</v>
      </c>
      <c r="E164" s="3" t="s">
        <v>62</v>
      </c>
      <c r="F164" s="3" t="s">
        <v>16</v>
      </c>
      <c r="G164" s="3" t="s">
        <v>81</v>
      </c>
      <c r="H164" s="4">
        <v>41.4</v>
      </c>
      <c r="I164" s="4">
        <v>18.6</v>
      </c>
      <c r="J164" s="4">
        <v>191.0</v>
      </c>
      <c r="K164" s="4">
        <v>3700.0</v>
      </c>
      <c r="L164" s="3" t="s">
        <v>18</v>
      </c>
    </row>
    <row r="165" ht="22.5" customHeight="1">
      <c r="A165" s="3" t="s">
        <v>79</v>
      </c>
      <c r="B165" s="4">
        <v>79.0</v>
      </c>
      <c r="C165" s="5" t="s">
        <v>270</v>
      </c>
      <c r="D165" s="3" t="s">
        <v>14</v>
      </c>
      <c r="E165" s="3" t="s">
        <v>97</v>
      </c>
      <c r="F165" s="3" t="s">
        <v>16</v>
      </c>
      <c r="G165" s="3" t="s">
        <v>81</v>
      </c>
      <c r="H165" s="4">
        <v>36.2</v>
      </c>
      <c r="I165" s="4">
        <v>16.1</v>
      </c>
      <c r="J165" s="4">
        <v>187.0</v>
      </c>
      <c r="K165" s="4">
        <v>3550.0</v>
      </c>
      <c r="L165" s="3" t="s">
        <v>20</v>
      </c>
    </row>
    <row r="166" ht="22.5" customHeight="1">
      <c r="A166" s="3" t="s">
        <v>79</v>
      </c>
      <c r="B166" s="4">
        <v>80.0</v>
      </c>
      <c r="C166" s="5" t="s">
        <v>270</v>
      </c>
      <c r="D166" s="3" t="s">
        <v>14</v>
      </c>
      <c r="E166" s="3" t="s">
        <v>98</v>
      </c>
      <c r="F166" s="3" t="s">
        <v>16</v>
      </c>
      <c r="G166" s="3" t="s">
        <v>81</v>
      </c>
      <c r="H166" s="4">
        <v>42.1</v>
      </c>
      <c r="I166" s="4">
        <v>19.1</v>
      </c>
      <c r="J166" s="4">
        <v>195.0</v>
      </c>
      <c r="K166" s="4">
        <v>4000.0</v>
      </c>
      <c r="L166" s="3" t="s">
        <v>18</v>
      </c>
    </row>
    <row r="167" ht="22.5" customHeight="1">
      <c r="A167" s="3" t="s">
        <v>79</v>
      </c>
      <c r="B167" s="4">
        <v>39.0</v>
      </c>
      <c r="C167" s="5" t="s">
        <v>271</v>
      </c>
      <c r="D167" s="3" t="s">
        <v>44</v>
      </c>
      <c r="E167" s="3" t="s">
        <v>29</v>
      </c>
      <c r="F167" s="3" t="s">
        <v>16</v>
      </c>
      <c r="G167" s="3" t="s">
        <v>81</v>
      </c>
      <c r="H167" s="4">
        <v>44.0</v>
      </c>
      <c r="I167" s="4">
        <v>13.6</v>
      </c>
      <c r="J167" s="4">
        <v>208.0</v>
      </c>
      <c r="K167" s="4">
        <v>4350.0</v>
      </c>
      <c r="L167" s="3" t="s">
        <v>20</v>
      </c>
    </row>
    <row r="168" ht="22.5" customHeight="1">
      <c r="A168" s="3" t="s">
        <v>79</v>
      </c>
      <c r="B168" s="4">
        <v>40.0</v>
      </c>
      <c r="C168" s="5" t="s">
        <v>271</v>
      </c>
      <c r="D168" s="3" t="s">
        <v>44</v>
      </c>
      <c r="E168" s="3" t="s">
        <v>32</v>
      </c>
      <c r="F168" s="3" t="s">
        <v>16</v>
      </c>
      <c r="G168" s="3" t="s">
        <v>81</v>
      </c>
      <c r="H168" s="4">
        <v>48.7</v>
      </c>
      <c r="I168" s="4">
        <v>15.7</v>
      </c>
      <c r="J168" s="4">
        <v>208.0</v>
      </c>
      <c r="K168" s="4">
        <v>5350.0</v>
      </c>
      <c r="L168" s="3" t="s">
        <v>18</v>
      </c>
    </row>
    <row r="169" ht="22.5" customHeight="1">
      <c r="A169" s="3" t="s">
        <v>79</v>
      </c>
      <c r="B169" s="4">
        <v>47.0</v>
      </c>
      <c r="C169" s="5" t="s">
        <v>271</v>
      </c>
      <c r="D169" s="3" t="s">
        <v>44</v>
      </c>
      <c r="E169" s="3" t="s">
        <v>45</v>
      </c>
      <c r="F169" s="3" t="s">
        <v>26</v>
      </c>
      <c r="G169" s="3" t="s">
        <v>81</v>
      </c>
      <c r="H169" s="4">
        <v>45.5</v>
      </c>
      <c r="I169" s="4">
        <v>13.9</v>
      </c>
      <c r="J169" s="4">
        <v>210.0</v>
      </c>
      <c r="K169" s="4">
        <v>4200.0</v>
      </c>
      <c r="L169" s="3" t="s">
        <v>20</v>
      </c>
    </row>
    <row r="170" ht="22.5" customHeight="1">
      <c r="A170" s="3" t="s">
        <v>79</v>
      </c>
      <c r="B170" s="4">
        <v>48.0</v>
      </c>
      <c r="C170" s="5" t="s">
        <v>271</v>
      </c>
      <c r="D170" s="3" t="s">
        <v>44</v>
      </c>
      <c r="E170" s="3" t="s">
        <v>46</v>
      </c>
      <c r="F170" s="3" t="s">
        <v>26</v>
      </c>
      <c r="G170" s="3" t="s">
        <v>81</v>
      </c>
      <c r="H170" s="4">
        <v>50.5</v>
      </c>
      <c r="I170" s="4">
        <v>15.9</v>
      </c>
      <c r="J170" s="4">
        <v>225.0</v>
      </c>
      <c r="K170" s="4">
        <v>5400.0</v>
      </c>
      <c r="L170" s="3" t="s">
        <v>18</v>
      </c>
    </row>
    <row r="171" ht="22.5" customHeight="1">
      <c r="A171" s="3" t="s">
        <v>79</v>
      </c>
      <c r="B171" s="4">
        <v>67.0</v>
      </c>
      <c r="C171" s="5" t="s">
        <v>271</v>
      </c>
      <c r="D171" s="3" t="s">
        <v>44</v>
      </c>
      <c r="E171" s="3" t="s">
        <v>129</v>
      </c>
      <c r="F171" s="3" t="s">
        <v>16</v>
      </c>
      <c r="G171" s="3" t="s">
        <v>81</v>
      </c>
      <c r="H171" s="4">
        <v>46.2</v>
      </c>
      <c r="I171" s="4">
        <v>14.4</v>
      </c>
      <c r="J171" s="4">
        <v>214.0</v>
      </c>
      <c r="K171" s="4">
        <v>4650.0</v>
      </c>
      <c r="L171" s="3" t="s">
        <v>31</v>
      </c>
    </row>
    <row r="172" ht="22.5" customHeight="1">
      <c r="A172" s="3" t="s">
        <v>79</v>
      </c>
      <c r="B172" s="4">
        <v>68.0</v>
      </c>
      <c r="C172" s="5" t="s">
        <v>271</v>
      </c>
      <c r="D172" s="3" t="s">
        <v>44</v>
      </c>
      <c r="E172" s="3" t="s">
        <v>130</v>
      </c>
      <c r="F172" s="3" t="s">
        <v>16</v>
      </c>
      <c r="G172" s="3" t="s">
        <v>81</v>
      </c>
      <c r="H172" s="4">
        <v>49.5</v>
      </c>
      <c r="I172" s="4">
        <v>16.2</v>
      </c>
      <c r="J172" s="4">
        <v>229.0</v>
      </c>
      <c r="K172" s="4">
        <v>5800.0</v>
      </c>
      <c r="L172" s="3" t="s">
        <v>18</v>
      </c>
    </row>
    <row r="173" ht="22.5" customHeight="1">
      <c r="A173" s="3" t="s">
        <v>79</v>
      </c>
      <c r="B173" s="4">
        <v>73.0</v>
      </c>
      <c r="C173" s="5" t="s">
        <v>271</v>
      </c>
      <c r="D173" s="3" t="s">
        <v>44</v>
      </c>
      <c r="E173" s="3" t="s">
        <v>133</v>
      </c>
      <c r="F173" s="3" t="s">
        <v>16</v>
      </c>
      <c r="G173" s="3" t="s">
        <v>81</v>
      </c>
      <c r="H173" s="4">
        <v>48.2</v>
      </c>
      <c r="I173" s="4">
        <v>15.6</v>
      </c>
      <c r="J173" s="4">
        <v>221.0</v>
      </c>
      <c r="K173" s="4">
        <v>5100.0</v>
      </c>
      <c r="L173" s="3" t="s">
        <v>18</v>
      </c>
    </row>
    <row r="174" ht="22.5" customHeight="1">
      <c r="A174" s="3" t="s">
        <v>79</v>
      </c>
      <c r="B174" s="4">
        <v>74.0</v>
      </c>
      <c r="C174" s="5" t="s">
        <v>271</v>
      </c>
      <c r="D174" s="3" t="s">
        <v>44</v>
      </c>
      <c r="E174" s="3" t="s">
        <v>135</v>
      </c>
      <c r="F174" s="3" t="s">
        <v>16</v>
      </c>
      <c r="G174" s="3" t="s">
        <v>81</v>
      </c>
      <c r="H174" s="4">
        <v>46.5</v>
      </c>
      <c r="I174" s="4">
        <v>14.8</v>
      </c>
      <c r="J174" s="4">
        <v>217.0</v>
      </c>
      <c r="K174" s="4">
        <v>5200.0</v>
      </c>
      <c r="L174" s="3" t="s">
        <v>20</v>
      </c>
    </row>
    <row r="175" ht="22.5" customHeight="1">
      <c r="A175" s="3" t="s">
        <v>79</v>
      </c>
      <c r="B175" s="4">
        <v>79.0</v>
      </c>
      <c r="C175" s="5" t="s">
        <v>271</v>
      </c>
      <c r="D175" s="3" t="s">
        <v>44</v>
      </c>
      <c r="E175" s="3" t="s">
        <v>139</v>
      </c>
      <c r="F175" s="3" t="s">
        <v>16</v>
      </c>
      <c r="G175" s="3" t="s">
        <v>81</v>
      </c>
      <c r="H175" s="4">
        <v>45.2</v>
      </c>
      <c r="I175" s="4">
        <v>13.8</v>
      </c>
      <c r="J175" s="4">
        <v>215.0</v>
      </c>
      <c r="K175" s="4">
        <v>4750.0</v>
      </c>
      <c r="L175" s="3" t="s">
        <v>20</v>
      </c>
    </row>
    <row r="176" ht="22.5" customHeight="1">
      <c r="A176" s="3" t="s">
        <v>79</v>
      </c>
      <c r="B176" s="4">
        <v>80.0</v>
      </c>
      <c r="C176" s="5" t="s">
        <v>271</v>
      </c>
      <c r="D176" s="3" t="s">
        <v>44</v>
      </c>
      <c r="E176" s="3" t="s">
        <v>140</v>
      </c>
      <c r="F176" s="3" t="s">
        <v>16</v>
      </c>
      <c r="G176" s="3" t="s">
        <v>81</v>
      </c>
      <c r="H176" s="4">
        <v>45.2</v>
      </c>
      <c r="I176" s="4">
        <v>16.4</v>
      </c>
      <c r="J176" s="4">
        <v>223.0</v>
      </c>
      <c r="K176" s="4">
        <v>5950.0</v>
      </c>
      <c r="L176" s="3" t="s">
        <v>18</v>
      </c>
    </row>
    <row r="177" ht="22.5" customHeight="1">
      <c r="A177" s="3" t="s">
        <v>79</v>
      </c>
      <c r="B177" s="4">
        <v>99.0</v>
      </c>
      <c r="C177" s="5" t="s">
        <v>270</v>
      </c>
      <c r="D177" s="3" t="s">
        <v>56</v>
      </c>
      <c r="E177" s="3" t="s">
        <v>121</v>
      </c>
      <c r="F177" s="3" t="s">
        <v>16</v>
      </c>
      <c r="G177" s="3" t="s">
        <v>122</v>
      </c>
      <c r="H177" s="4">
        <v>33.1</v>
      </c>
      <c r="I177" s="4">
        <v>16.1</v>
      </c>
      <c r="J177" s="4">
        <v>178.0</v>
      </c>
      <c r="K177" s="4">
        <v>2900.0</v>
      </c>
      <c r="L177" s="3" t="s">
        <v>20</v>
      </c>
    </row>
    <row r="178" ht="22.5" customHeight="1">
      <c r="A178" s="3" t="s">
        <v>79</v>
      </c>
      <c r="B178" s="4">
        <v>100.0</v>
      </c>
      <c r="C178" s="5" t="s">
        <v>270</v>
      </c>
      <c r="D178" s="3" t="s">
        <v>56</v>
      </c>
      <c r="E178" s="3" t="s">
        <v>123</v>
      </c>
      <c r="F178" s="3" t="s">
        <v>16</v>
      </c>
      <c r="G178" s="3" t="s">
        <v>122</v>
      </c>
      <c r="H178" s="4">
        <v>43.2</v>
      </c>
      <c r="I178" s="4">
        <v>18.5</v>
      </c>
      <c r="J178" s="4">
        <v>192.0</v>
      </c>
      <c r="K178" s="4">
        <v>4100.0</v>
      </c>
      <c r="L178" s="3" t="s">
        <v>18</v>
      </c>
    </row>
    <row r="179" ht="22.5" customHeight="1">
      <c r="A179" s="3" t="s">
        <v>79</v>
      </c>
      <c r="B179" s="4">
        <v>69.0</v>
      </c>
      <c r="C179" s="5" t="s">
        <v>270</v>
      </c>
      <c r="D179" s="3" t="s">
        <v>14</v>
      </c>
      <c r="E179" s="3" t="s">
        <v>84</v>
      </c>
      <c r="F179" s="3" t="s">
        <v>26</v>
      </c>
      <c r="G179" s="3" t="s">
        <v>85</v>
      </c>
      <c r="H179" s="4">
        <v>35.9</v>
      </c>
      <c r="I179" s="4">
        <v>16.6</v>
      </c>
      <c r="J179" s="4">
        <v>190.0</v>
      </c>
      <c r="K179" s="4">
        <v>3050.0</v>
      </c>
      <c r="L179" s="3" t="s">
        <v>20</v>
      </c>
    </row>
    <row r="180" ht="22.5" customHeight="1">
      <c r="A180" s="3" t="s">
        <v>79</v>
      </c>
      <c r="B180" s="4">
        <v>70.0</v>
      </c>
      <c r="C180" s="5" t="s">
        <v>270</v>
      </c>
      <c r="D180" s="3" t="s">
        <v>14</v>
      </c>
      <c r="E180" s="3" t="s">
        <v>86</v>
      </c>
      <c r="F180" s="3" t="s">
        <v>26</v>
      </c>
      <c r="G180" s="3" t="s">
        <v>85</v>
      </c>
      <c r="H180" s="4">
        <v>41.8</v>
      </c>
      <c r="I180" s="4">
        <v>19.4</v>
      </c>
      <c r="J180" s="4">
        <v>198.0</v>
      </c>
      <c r="K180" s="4">
        <v>4450.0</v>
      </c>
      <c r="L180" s="3" t="s">
        <v>18</v>
      </c>
    </row>
    <row r="181" ht="22.5" customHeight="1">
      <c r="A181" s="3" t="s">
        <v>79</v>
      </c>
      <c r="B181" s="4">
        <v>73.0</v>
      </c>
      <c r="C181" s="5" t="s">
        <v>270</v>
      </c>
      <c r="D181" s="3" t="s">
        <v>14</v>
      </c>
      <c r="E181" s="3" t="s">
        <v>90</v>
      </c>
      <c r="F181" s="3" t="s">
        <v>16</v>
      </c>
      <c r="G181" s="3" t="s">
        <v>85</v>
      </c>
      <c r="H181" s="4">
        <v>39.6</v>
      </c>
      <c r="I181" s="4">
        <v>17.2</v>
      </c>
      <c r="J181" s="4">
        <v>196.0</v>
      </c>
      <c r="K181" s="4">
        <v>3550.0</v>
      </c>
      <c r="L181" s="3" t="s">
        <v>20</v>
      </c>
    </row>
    <row r="182" ht="22.5" customHeight="1">
      <c r="A182" s="3" t="s">
        <v>79</v>
      </c>
      <c r="B182" s="4">
        <v>74.0</v>
      </c>
      <c r="C182" s="5" t="s">
        <v>270</v>
      </c>
      <c r="D182" s="3" t="s">
        <v>14</v>
      </c>
      <c r="E182" s="3" t="s">
        <v>91</v>
      </c>
      <c r="F182" s="3" t="s">
        <v>16</v>
      </c>
      <c r="G182" s="3" t="s">
        <v>85</v>
      </c>
      <c r="H182" s="4">
        <v>45.8</v>
      </c>
      <c r="I182" s="4">
        <v>18.9</v>
      </c>
      <c r="J182" s="4">
        <v>197.0</v>
      </c>
      <c r="K182" s="4">
        <v>4150.0</v>
      </c>
      <c r="L182" s="3" t="s">
        <v>18</v>
      </c>
    </row>
    <row r="183" ht="22.5" customHeight="1">
      <c r="A183" s="3" t="s">
        <v>79</v>
      </c>
      <c r="B183" s="4">
        <v>61.0</v>
      </c>
      <c r="C183" s="5" t="s">
        <v>270</v>
      </c>
      <c r="D183" s="3" t="s">
        <v>44</v>
      </c>
      <c r="E183" s="3" t="s">
        <v>70</v>
      </c>
      <c r="F183" s="3" t="s">
        <v>16</v>
      </c>
      <c r="G183" s="3" t="s">
        <v>83</v>
      </c>
      <c r="H183" s="4">
        <v>35.7</v>
      </c>
      <c r="I183" s="4">
        <v>16.9</v>
      </c>
      <c r="J183" s="4">
        <v>185.0</v>
      </c>
      <c r="K183" s="4">
        <v>3150.0</v>
      </c>
      <c r="L183" s="3" t="s">
        <v>20</v>
      </c>
    </row>
    <row r="184" ht="22.5" customHeight="1">
      <c r="A184" s="3" t="s">
        <v>79</v>
      </c>
      <c r="B184" s="4">
        <v>62.0</v>
      </c>
      <c r="C184" s="5" t="s">
        <v>270</v>
      </c>
      <c r="D184" s="3" t="s">
        <v>44</v>
      </c>
      <c r="E184" s="3" t="s">
        <v>72</v>
      </c>
      <c r="F184" s="3" t="s">
        <v>16</v>
      </c>
      <c r="G184" s="3" t="s">
        <v>83</v>
      </c>
      <c r="H184" s="4">
        <v>41.3</v>
      </c>
      <c r="I184" s="4">
        <v>21.1</v>
      </c>
      <c r="J184" s="4">
        <v>195.0</v>
      </c>
      <c r="K184" s="4">
        <v>4400.0</v>
      </c>
      <c r="L184" s="3" t="s">
        <v>18</v>
      </c>
    </row>
    <row r="185" ht="22.5" customHeight="1">
      <c r="A185" s="3" t="s">
        <v>79</v>
      </c>
      <c r="B185" s="4">
        <v>63.0</v>
      </c>
      <c r="C185" s="5" t="s">
        <v>270</v>
      </c>
      <c r="D185" s="3" t="s">
        <v>44</v>
      </c>
      <c r="E185" s="3" t="s">
        <v>73</v>
      </c>
      <c r="F185" s="3" t="s">
        <v>16</v>
      </c>
      <c r="G185" s="3" t="s">
        <v>83</v>
      </c>
      <c r="H185" s="4">
        <v>37.6</v>
      </c>
      <c r="I185" s="4">
        <v>17.0</v>
      </c>
      <c r="J185" s="4">
        <v>185.0</v>
      </c>
      <c r="K185" s="4">
        <v>3600.0</v>
      </c>
      <c r="L185" s="3" t="s">
        <v>20</v>
      </c>
    </row>
    <row r="186" ht="22.5" customHeight="1">
      <c r="A186" s="3" t="s">
        <v>79</v>
      </c>
      <c r="B186" s="4">
        <v>64.0</v>
      </c>
      <c r="C186" s="5" t="s">
        <v>270</v>
      </c>
      <c r="D186" s="3" t="s">
        <v>44</v>
      </c>
      <c r="E186" s="3" t="s">
        <v>74</v>
      </c>
      <c r="F186" s="3" t="s">
        <v>16</v>
      </c>
      <c r="G186" s="3" t="s">
        <v>83</v>
      </c>
      <c r="H186" s="4">
        <v>41.1</v>
      </c>
      <c r="I186" s="4">
        <v>18.2</v>
      </c>
      <c r="J186" s="4">
        <v>192.0</v>
      </c>
      <c r="K186" s="4">
        <v>4050.0</v>
      </c>
      <c r="L186" s="3" t="s">
        <v>18</v>
      </c>
    </row>
    <row r="187" ht="22.5" customHeight="1">
      <c r="A187" s="3" t="s">
        <v>79</v>
      </c>
      <c r="B187" s="4">
        <v>65.0</v>
      </c>
      <c r="C187" s="5" t="s">
        <v>270</v>
      </c>
      <c r="D187" s="3" t="s">
        <v>44</v>
      </c>
      <c r="E187" s="3" t="s">
        <v>75</v>
      </c>
      <c r="F187" s="3" t="s">
        <v>16</v>
      </c>
      <c r="G187" s="3" t="s">
        <v>83</v>
      </c>
      <c r="H187" s="4">
        <v>36.4</v>
      </c>
      <c r="I187" s="4">
        <v>17.1</v>
      </c>
      <c r="J187" s="4">
        <v>184.0</v>
      </c>
      <c r="K187" s="4">
        <v>2850.0</v>
      </c>
      <c r="L187" s="3" t="s">
        <v>20</v>
      </c>
    </row>
    <row r="188" ht="22.5" customHeight="1">
      <c r="A188" s="3" t="s">
        <v>79</v>
      </c>
      <c r="B188" s="4">
        <v>66.0</v>
      </c>
      <c r="C188" s="5" t="s">
        <v>270</v>
      </c>
      <c r="D188" s="3" t="s">
        <v>44</v>
      </c>
      <c r="E188" s="3" t="s">
        <v>76</v>
      </c>
      <c r="F188" s="3" t="s">
        <v>16</v>
      </c>
      <c r="G188" s="3" t="s">
        <v>83</v>
      </c>
      <c r="H188" s="4">
        <v>41.6</v>
      </c>
      <c r="I188" s="4">
        <v>18.0</v>
      </c>
      <c r="J188" s="4">
        <v>192.0</v>
      </c>
      <c r="K188" s="4">
        <v>3950.0</v>
      </c>
      <c r="L188" s="3" t="s">
        <v>18</v>
      </c>
    </row>
    <row r="189" ht="22.5" customHeight="1">
      <c r="A189" s="3" t="s">
        <v>79</v>
      </c>
      <c r="B189" s="4">
        <v>35.0</v>
      </c>
      <c r="C189" s="5" t="s">
        <v>271</v>
      </c>
      <c r="D189" s="3" t="s">
        <v>44</v>
      </c>
      <c r="E189" s="3" t="s">
        <v>21</v>
      </c>
      <c r="F189" s="3" t="s">
        <v>16</v>
      </c>
      <c r="G189" s="3" t="s">
        <v>83</v>
      </c>
      <c r="H189" s="4">
        <v>49.1</v>
      </c>
      <c r="I189" s="4">
        <v>14.8</v>
      </c>
      <c r="J189" s="4">
        <v>220.0</v>
      </c>
      <c r="K189" s="4">
        <v>5150.0</v>
      </c>
      <c r="L189" s="3" t="s">
        <v>20</v>
      </c>
    </row>
    <row r="190" ht="22.5" customHeight="1">
      <c r="A190" s="3" t="s">
        <v>79</v>
      </c>
      <c r="B190" s="4">
        <v>36.0</v>
      </c>
      <c r="C190" s="5" t="s">
        <v>271</v>
      </c>
      <c r="D190" s="3" t="s">
        <v>44</v>
      </c>
      <c r="E190" s="3" t="s">
        <v>199</v>
      </c>
      <c r="F190" s="3" t="s">
        <v>16</v>
      </c>
      <c r="G190" s="3" t="s">
        <v>83</v>
      </c>
      <c r="H190" s="4">
        <v>48.4</v>
      </c>
      <c r="I190" s="4">
        <v>16.3</v>
      </c>
      <c r="J190" s="4">
        <v>220.0</v>
      </c>
      <c r="K190" s="4">
        <v>5400.0</v>
      </c>
      <c r="L190" s="3" t="s">
        <v>18</v>
      </c>
    </row>
    <row r="191" ht="22.5" customHeight="1">
      <c r="A191" s="3" t="s">
        <v>79</v>
      </c>
      <c r="B191" s="4">
        <v>63.0</v>
      </c>
      <c r="C191" s="5" t="s">
        <v>271</v>
      </c>
      <c r="D191" s="3" t="s">
        <v>44</v>
      </c>
      <c r="E191" s="3" t="s">
        <v>208</v>
      </c>
      <c r="F191" s="3" t="s">
        <v>16</v>
      </c>
      <c r="G191" s="3" t="s">
        <v>83</v>
      </c>
      <c r="H191" s="4">
        <v>45.7</v>
      </c>
      <c r="I191" s="4">
        <v>13.9</v>
      </c>
      <c r="J191" s="4">
        <v>214.0</v>
      </c>
      <c r="K191" s="4">
        <v>4400.0</v>
      </c>
      <c r="L191" s="3" t="s">
        <v>20</v>
      </c>
    </row>
    <row r="192" ht="22.5" customHeight="1">
      <c r="A192" s="3" t="s">
        <v>79</v>
      </c>
      <c r="B192" s="4">
        <v>64.0</v>
      </c>
      <c r="C192" s="5" t="s">
        <v>271</v>
      </c>
      <c r="D192" s="3" t="s">
        <v>44</v>
      </c>
      <c r="E192" s="3" t="s">
        <v>209</v>
      </c>
      <c r="F192" s="3" t="s">
        <v>16</v>
      </c>
      <c r="G192" s="3" t="s">
        <v>83</v>
      </c>
      <c r="H192" s="4">
        <v>54.3</v>
      </c>
      <c r="I192" s="4">
        <v>15.7</v>
      </c>
      <c r="J192" s="4">
        <v>231.0</v>
      </c>
      <c r="K192" s="4">
        <v>5650.0</v>
      </c>
      <c r="L192" s="3" t="s">
        <v>18</v>
      </c>
    </row>
    <row r="193" ht="22.5" customHeight="1">
      <c r="A193" s="3" t="s">
        <v>79</v>
      </c>
      <c r="B193" s="4">
        <v>69.0</v>
      </c>
      <c r="C193" s="5" t="s">
        <v>271</v>
      </c>
      <c r="D193" s="3" t="s">
        <v>44</v>
      </c>
      <c r="E193" s="3" t="s">
        <v>131</v>
      </c>
      <c r="F193" s="3" t="s">
        <v>16</v>
      </c>
      <c r="G193" s="3" t="s">
        <v>83</v>
      </c>
      <c r="H193" s="4">
        <v>43.5</v>
      </c>
      <c r="I193" s="4">
        <v>14.2</v>
      </c>
      <c r="J193" s="4">
        <v>220.0</v>
      </c>
      <c r="K193" s="4">
        <v>4700.0</v>
      </c>
      <c r="L193" s="3" t="s">
        <v>20</v>
      </c>
    </row>
    <row r="194" ht="22.5" customHeight="1">
      <c r="A194" s="3" t="s">
        <v>79</v>
      </c>
      <c r="B194" s="4">
        <v>70.0</v>
      </c>
      <c r="C194" s="5" t="s">
        <v>271</v>
      </c>
      <c r="D194" s="3" t="s">
        <v>44</v>
      </c>
      <c r="E194" s="3" t="s">
        <v>132</v>
      </c>
      <c r="F194" s="3" t="s">
        <v>16</v>
      </c>
      <c r="G194" s="3" t="s">
        <v>83</v>
      </c>
      <c r="H194" s="4">
        <v>50.7</v>
      </c>
      <c r="I194" s="4">
        <v>15.0</v>
      </c>
      <c r="J194" s="4">
        <v>223.0</v>
      </c>
      <c r="K194" s="4">
        <v>5550.0</v>
      </c>
      <c r="L194" s="3" t="s">
        <v>18</v>
      </c>
    </row>
    <row r="195" ht="22.5" customHeight="1">
      <c r="A195" s="3" t="s">
        <v>79</v>
      </c>
      <c r="B195" s="4">
        <v>71.0</v>
      </c>
      <c r="C195" s="5" t="s">
        <v>270</v>
      </c>
      <c r="D195" s="3" t="s">
        <v>14</v>
      </c>
      <c r="E195" s="3" t="s">
        <v>87</v>
      </c>
      <c r="F195" s="3" t="s">
        <v>16</v>
      </c>
      <c r="G195" s="3" t="s">
        <v>88</v>
      </c>
      <c r="H195" s="4">
        <v>33.5</v>
      </c>
      <c r="I195" s="4">
        <v>19.0</v>
      </c>
      <c r="J195" s="4">
        <v>190.0</v>
      </c>
      <c r="K195" s="4">
        <v>3600.0</v>
      </c>
      <c r="L195" s="3" t="s">
        <v>20</v>
      </c>
    </row>
    <row r="196" ht="22.5" customHeight="1">
      <c r="A196" s="3" t="s">
        <v>79</v>
      </c>
      <c r="B196" s="4">
        <v>72.0</v>
      </c>
      <c r="C196" s="5" t="s">
        <v>270</v>
      </c>
      <c r="D196" s="3" t="s">
        <v>14</v>
      </c>
      <c r="E196" s="3" t="s">
        <v>89</v>
      </c>
      <c r="F196" s="3" t="s">
        <v>16</v>
      </c>
      <c r="G196" s="3" t="s">
        <v>88</v>
      </c>
      <c r="H196" s="4">
        <v>39.7</v>
      </c>
      <c r="I196" s="4">
        <v>18.4</v>
      </c>
      <c r="J196" s="4">
        <v>190.0</v>
      </c>
      <c r="K196" s="4">
        <v>3900.0</v>
      </c>
      <c r="L196" s="3" t="s">
        <v>18</v>
      </c>
    </row>
    <row r="197" ht="22.5" customHeight="1">
      <c r="A197" s="3" t="s">
        <v>79</v>
      </c>
      <c r="B197" s="4">
        <v>91.0</v>
      </c>
      <c r="C197" s="5" t="s">
        <v>270</v>
      </c>
      <c r="D197" s="3" t="s">
        <v>56</v>
      </c>
      <c r="E197" s="3" t="s">
        <v>112</v>
      </c>
      <c r="F197" s="3" t="s">
        <v>16</v>
      </c>
      <c r="G197" s="3" t="s">
        <v>88</v>
      </c>
      <c r="H197" s="4">
        <v>35.7</v>
      </c>
      <c r="I197" s="4">
        <v>18.0</v>
      </c>
      <c r="J197" s="4">
        <v>202.0</v>
      </c>
      <c r="K197" s="4">
        <v>3550.0</v>
      </c>
      <c r="L197" s="3" t="s">
        <v>20</v>
      </c>
    </row>
    <row r="198" ht="22.5" customHeight="1">
      <c r="A198" s="3" t="s">
        <v>79</v>
      </c>
      <c r="B198" s="4">
        <v>92.0</v>
      </c>
      <c r="C198" s="5" t="s">
        <v>270</v>
      </c>
      <c r="D198" s="3" t="s">
        <v>56</v>
      </c>
      <c r="E198" s="3" t="s">
        <v>113</v>
      </c>
      <c r="F198" s="3" t="s">
        <v>16</v>
      </c>
      <c r="G198" s="3" t="s">
        <v>88</v>
      </c>
      <c r="H198" s="4">
        <v>41.1</v>
      </c>
      <c r="I198" s="4">
        <v>18.1</v>
      </c>
      <c r="J198" s="4">
        <v>205.0</v>
      </c>
      <c r="K198" s="4">
        <v>4300.0</v>
      </c>
      <c r="L198" s="3" t="s">
        <v>18</v>
      </c>
    </row>
    <row r="199" ht="22.5" customHeight="1">
      <c r="A199" s="3" t="s">
        <v>79</v>
      </c>
      <c r="B199" s="4">
        <v>29.0</v>
      </c>
      <c r="C199" s="5" t="s">
        <v>272</v>
      </c>
      <c r="D199" s="3" t="s">
        <v>56</v>
      </c>
      <c r="E199" s="3" t="s">
        <v>220</v>
      </c>
      <c r="F199" s="3" t="s">
        <v>16</v>
      </c>
      <c r="G199" s="3" t="s">
        <v>88</v>
      </c>
      <c r="H199" s="4">
        <v>46.4</v>
      </c>
      <c r="I199" s="4">
        <v>17.8</v>
      </c>
      <c r="J199" s="4">
        <v>191.0</v>
      </c>
      <c r="K199" s="4">
        <v>3700.0</v>
      </c>
      <c r="L199" s="3" t="s">
        <v>20</v>
      </c>
    </row>
    <row r="200" ht="22.5" customHeight="1">
      <c r="A200" s="3" t="s">
        <v>79</v>
      </c>
      <c r="B200" s="4">
        <v>30.0</v>
      </c>
      <c r="C200" s="5" t="s">
        <v>272</v>
      </c>
      <c r="D200" s="3" t="s">
        <v>56</v>
      </c>
      <c r="E200" s="3" t="s">
        <v>222</v>
      </c>
      <c r="F200" s="3" t="s">
        <v>16</v>
      </c>
      <c r="G200" s="3" t="s">
        <v>88</v>
      </c>
      <c r="H200" s="4">
        <v>52.8</v>
      </c>
      <c r="I200" s="4">
        <v>20.0</v>
      </c>
      <c r="J200" s="4">
        <v>205.0</v>
      </c>
      <c r="K200" s="4">
        <v>4550.0</v>
      </c>
      <c r="L200" s="3" t="s">
        <v>18</v>
      </c>
    </row>
    <row r="201" ht="22.5" customHeight="1">
      <c r="A201" s="3" t="s">
        <v>79</v>
      </c>
      <c r="B201" s="4">
        <v>37.0</v>
      </c>
      <c r="C201" s="5" t="s">
        <v>272</v>
      </c>
      <c r="D201" s="3" t="s">
        <v>56</v>
      </c>
      <c r="E201" s="3" t="s">
        <v>155</v>
      </c>
      <c r="F201" s="3" t="s">
        <v>16</v>
      </c>
      <c r="G201" s="3" t="s">
        <v>88</v>
      </c>
      <c r="H201" s="4">
        <v>47.6</v>
      </c>
      <c r="I201" s="4">
        <v>18.3</v>
      </c>
      <c r="J201" s="4">
        <v>195.0</v>
      </c>
      <c r="K201" s="4">
        <v>3850.0</v>
      </c>
      <c r="L201" s="3" t="s">
        <v>20</v>
      </c>
    </row>
    <row r="202" ht="22.5" customHeight="1">
      <c r="A202" s="3" t="s">
        <v>79</v>
      </c>
      <c r="B202" s="4">
        <v>38.0</v>
      </c>
      <c r="C202" s="5" t="s">
        <v>272</v>
      </c>
      <c r="D202" s="3" t="s">
        <v>56</v>
      </c>
      <c r="E202" s="3" t="s">
        <v>156</v>
      </c>
      <c r="F202" s="3" t="s">
        <v>16</v>
      </c>
      <c r="G202" s="3" t="s">
        <v>88</v>
      </c>
      <c r="H202" s="4">
        <v>52.0</v>
      </c>
      <c r="I202" s="4">
        <v>20.7</v>
      </c>
      <c r="J202" s="4">
        <v>210.0</v>
      </c>
      <c r="K202" s="4">
        <v>4800.0</v>
      </c>
      <c r="L202" s="3" t="s">
        <v>18</v>
      </c>
    </row>
    <row r="203" ht="22.5" customHeight="1">
      <c r="A203" s="3" t="s">
        <v>79</v>
      </c>
      <c r="B203" s="4">
        <v>43.0</v>
      </c>
      <c r="C203" s="5" t="s">
        <v>272</v>
      </c>
      <c r="D203" s="3" t="s">
        <v>56</v>
      </c>
      <c r="E203" s="3" t="s">
        <v>239</v>
      </c>
      <c r="F203" s="3" t="s">
        <v>16</v>
      </c>
      <c r="G203" s="3" t="s">
        <v>88</v>
      </c>
      <c r="H203" s="4">
        <v>50.9</v>
      </c>
      <c r="I203" s="4">
        <v>19.1</v>
      </c>
      <c r="J203" s="4">
        <v>196.0</v>
      </c>
      <c r="K203" s="4">
        <v>3550.0</v>
      </c>
      <c r="L203" s="3" t="s">
        <v>18</v>
      </c>
    </row>
    <row r="204" ht="22.5" customHeight="1">
      <c r="A204" s="3" t="s">
        <v>79</v>
      </c>
      <c r="B204" s="4">
        <v>44.0</v>
      </c>
      <c r="C204" s="5" t="s">
        <v>272</v>
      </c>
      <c r="D204" s="3" t="s">
        <v>56</v>
      </c>
      <c r="E204" s="3" t="s">
        <v>240</v>
      </c>
      <c r="F204" s="3" t="s">
        <v>16</v>
      </c>
      <c r="G204" s="3" t="s">
        <v>88</v>
      </c>
      <c r="H204" s="4">
        <v>45.5</v>
      </c>
      <c r="I204" s="4">
        <v>17.0</v>
      </c>
      <c r="J204" s="4">
        <v>196.0</v>
      </c>
      <c r="K204" s="4">
        <v>3500.0</v>
      </c>
      <c r="L204" s="3" t="s">
        <v>20</v>
      </c>
    </row>
    <row r="205" ht="22.5" customHeight="1">
      <c r="A205" s="3" t="s">
        <v>79</v>
      </c>
      <c r="B205" s="4">
        <v>57.0</v>
      </c>
      <c r="C205" s="5" t="s">
        <v>270</v>
      </c>
      <c r="D205" s="3" t="s">
        <v>44</v>
      </c>
      <c r="E205" s="3" t="s">
        <v>63</v>
      </c>
      <c r="F205" s="3" t="s">
        <v>16</v>
      </c>
      <c r="G205" s="3" t="s">
        <v>82</v>
      </c>
      <c r="H205" s="4">
        <v>39.0</v>
      </c>
      <c r="I205" s="4">
        <v>17.5</v>
      </c>
      <c r="J205" s="4">
        <v>186.0</v>
      </c>
      <c r="K205" s="4">
        <v>3550.0</v>
      </c>
      <c r="L205" s="3" t="s">
        <v>20</v>
      </c>
    </row>
    <row r="206" ht="22.5" customHeight="1">
      <c r="A206" s="3" t="s">
        <v>79</v>
      </c>
      <c r="B206" s="4">
        <v>58.0</v>
      </c>
      <c r="C206" s="5" t="s">
        <v>270</v>
      </c>
      <c r="D206" s="3" t="s">
        <v>44</v>
      </c>
      <c r="E206" s="3" t="s">
        <v>64</v>
      </c>
      <c r="F206" s="3" t="s">
        <v>16</v>
      </c>
      <c r="G206" s="3" t="s">
        <v>82</v>
      </c>
      <c r="H206" s="4">
        <v>40.6</v>
      </c>
      <c r="I206" s="4">
        <v>18.8</v>
      </c>
      <c r="J206" s="4">
        <v>193.0</v>
      </c>
      <c r="K206" s="4">
        <v>3800.0</v>
      </c>
      <c r="L206" s="3" t="s">
        <v>18</v>
      </c>
    </row>
    <row r="207" ht="22.5" customHeight="1">
      <c r="A207" s="3" t="s">
        <v>79</v>
      </c>
      <c r="B207" s="4">
        <v>59.0</v>
      </c>
      <c r="C207" s="5" t="s">
        <v>270</v>
      </c>
      <c r="D207" s="3" t="s">
        <v>44</v>
      </c>
      <c r="E207" s="3" t="s">
        <v>65</v>
      </c>
      <c r="F207" s="3" t="s">
        <v>16</v>
      </c>
      <c r="G207" s="3" t="s">
        <v>82</v>
      </c>
      <c r="H207" s="4">
        <v>36.5</v>
      </c>
      <c r="I207" s="4">
        <v>16.6</v>
      </c>
      <c r="J207" s="4">
        <v>181.0</v>
      </c>
      <c r="K207" s="4">
        <v>2850.0</v>
      </c>
      <c r="L207" s="3" t="s">
        <v>20</v>
      </c>
    </row>
    <row r="208" ht="22.5" customHeight="1">
      <c r="A208" s="3" t="s">
        <v>79</v>
      </c>
      <c r="B208" s="4">
        <v>60.0</v>
      </c>
      <c r="C208" s="5" t="s">
        <v>270</v>
      </c>
      <c r="D208" s="3" t="s">
        <v>44</v>
      </c>
      <c r="E208" s="3" t="s">
        <v>67</v>
      </c>
      <c r="F208" s="3" t="s">
        <v>16</v>
      </c>
      <c r="G208" s="3" t="s">
        <v>82</v>
      </c>
      <c r="H208" s="4">
        <v>37.6</v>
      </c>
      <c r="I208" s="4">
        <v>19.1</v>
      </c>
      <c r="J208" s="4">
        <v>194.0</v>
      </c>
      <c r="K208" s="4">
        <v>3750.0</v>
      </c>
      <c r="L208" s="3" t="s">
        <v>18</v>
      </c>
    </row>
    <row r="209" ht="22.5" customHeight="1">
      <c r="A209" s="3" t="s">
        <v>79</v>
      </c>
      <c r="B209" s="4">
        <v>85.0</v>
      </c>
      <c r="C209" s="5" t="s">
        <v>270</v>
      </c>
      <c r="D209" s="3" t="s">
        <v>56</v>
      </c>
      <c r="E209" s="3" t="s">
        <v>105</v>
      </c>
      <c r="F209" s="3" t="s">
        <v>16</v>
      </c>
      <c r="G209" s="3" t="s">
        <v>106</v>
      </c>
      <c r="H209" s="4">
        <v>37.3</v>
      </c>
      <c r="I209" s="4">
        <v>17.8</v>
      </c>
      <c r="J209" s="4">
        <v>191.0</v>
      </c>
      <c r="K209" s="4">
        <v>3350.0</v>
      </c>
      <c r="L209" s="3" t="s">
        <v>20</v>
      </c>
    </row>
    <row r="210" ht="22.5" customHeight="1">
      <c r="A210" s="3" t="s">
        <v>79</v>
      </c>
      <c r="B210" s="4">
        <v>86.0</v>
      </c>
      <c r="C210" s="5" t="s">
        <v>270</v>
      </c>
      <c r="D210" s="3" t="s">
        <v>56</v>
      </c>
      <c r="E210" s="3" t="s">
        <v>107</v>
      </c>
      <c r="F210" s="3" t="s">
        <v>16</v>
      </c>
      <c r="G210" s="3" t="s">
        <v>106</v>
      </c>
      <c r="H210" s="4">
        <v>41.3</v>
      </c>
      <c r="I210" s="4">
        <v>20.3</v>
      </c>
      <c r="J210" s="4">
        <v>194.0</v>
      </c>
      <c r="K210" s="4">
        <v>3550.0</v>
      </c>
      <c r="L210" s="3" t="s">
        <v>18</v>
      </c>
    </row>
    <row r="211" ht="22.5" customHeight="1">
      <c r="A211" s="3" t="s">
        <v>79</v>
      </c>
      <c r="B211" s="4">
        <v>95.0</v>
      </c>
      <c r="C211" s="5" t="s">
        <v>270</v>
      </c>
      <c r="D211" s="3" t="s">
        <v>56</v>
      </c>
      <c r="E211" s="3" t="s">
        <v>117</v>
      </c>
      <c r="F211" s="3" t="s">
        <v>16</v>
      </c>
      <c r="G211" s="3" t="s">
        <v>106</v>
      </c>
      <c r="H211" s="4">
        <v>36.2</v>
      </c>
      <c r="I211" s="4">
        <v>17.3</v>
      </c>
      <c r="J211" s="4">
        <v>187.0</v>
      </c>
      <c r="K211" s="4">
        <v>3300.0</v>
      </c>
      <c r="L211" s="3" t="s">
        <v>20</v>
      </c>
    </row>
    <row r="212" ht="22.5" customHeight="1">
      <c r="A212" s="3" t="s">
        <v>79</v>
      </c>
      <c r="B212" s="4">
        <v>96.0</v>
      </c>
      <c r="C212" s="5" t="s">
        <v>270</v>
      </c>
      <c r="D212" s="3" t="s">
        <v>56</v>
      </c>
      <c r="E212" s="3" t="s">
        <v>118</v>
      </c>
      <c r="F212" s="3" t="s">
        <v>16</v>
      </c>
      <c r="G212" s="3" t="s">
        <v>106</v>
      </c>
      <c r="H212" s="4">
        <v>40.8</v>
      </c>
      <c r="I212" s="4">
        <v>18.9</v>
      </c>
      <c r="J212" s="4">
        <v>208.0</v>
      </c>
      <c r="K212" s="4">
        <v>4300.0</v>
      </c>
      <c r="L212" s="3" t="s">
        <v>18</v>
      </c>
    </row>
    <row r="213" ht="22.5" customHeight="1">
      <c r="A213" s="3" t="s">
        <v>79</v>
      </c>
      <c r="B213" s="4">
        <v>31.0</v>
      </c>
      <c r="C213" s="5" t="s">
        <v>272</v>
      </c>
      <c r="D213" s="3" t="s">
        <v>56</v>
      </c>
      <c r="E213" s="3" t="s">
        <v>144</v>
      </c>
      <c r="F213" s="3" t="s">
        <v>16</v>
      </c>
      <c r="G213" s="3" t="s">
        <v>234</v>
      </c>
      <c r="H213" s="4">
        <v>40.9</v>
      </c>
      <c r="I213" s="4">
        <v>16.6</v>
      </c>
      <c r="J213" s="4">
        <v>187.0</v>
      </c>
      <c r="K213" s="4">
        <v>3200.0</v>
      </c>
      <c r="L213" s="3" t="s">
        <v>20</v>
      </c>
    </row>
    <row r="214" ht="22.5" customHeight="1">
      <c r="A214" s="3" t="s">
        <v>79</v>
      </c>
      <c r="B214" s="4">
        <v>32.0</v>
      </c>
      <c r="C214" s="5" t="s">
        <v>272</v>
      </c>
      <c r="D214" s="3" t="s">
        <v>56</v>
      </c>
      <c r="E214" s="3" t="s">
        <v>146</v>
      </c>
      <c r="F214" s="3" t="s">
        <v>16</v>
      </c>
      <c r="G214" s="3" t="s">
        <v>234</v>
      </c>
      <c r="H214" s="4">
        <v>54.2</v>
      </c>
      <c r="I214" s="4">
        <v>20.8</v>
      </c>
      <c r="J214" s="4">
        <v>201.0</v>
      </c>
      <c r="K214" s="4">
        <v>4300.0</v>
      </c>
      <c r="L214" s="3" t="s">
        <v>18</v>
      </c>
    </row>
    <row r="215" ht="22.5" customHeight="1">
      <c r="A215" s="3" t="s">
        <v>79</v>
      </c>
      <c r="B215" s="4">
        <v>33.0</v>
      </c>
      <c r="C215" s="5" t="s">
        <v>272</v>
      </c>
      <c r="D215" s="3" t="s">
        <v>56</v>
      </c>
      <c r="E215" s="3" t="s">
        <v>235</v>
      </c>
      <c r="F215" s="3" t="s">
        <v>16</v>
      </c>
      <c r="G215" s="3" t="s">
        <v>234</v>
      </c>
      <c r="H215" s="4">
        <v>42.5</v>
      </c>
      <c r="I215" s="4">
        <v>16.7</v>
      </c>
      <c r="J215" s="4">
        <v>187.0</v>
      </c>
      <c r="K215" s="4">
        <v>3350.0</v>
      </c>
      <c r="L215" s="3" t="s">
        <v>20</v>
      </c>
    </row>
    <row r="216" ht="22.5" customHeight="1">
      <c r="A216" s="3" t="s">
        <v>79</v>
      </c>
      <c r="B216" s="4">
        <v>34.0</v>
      </c>
      <c r="C216" s="5" t="s">
        <v>272</v>
      </c>
      <c r="D216" s="3" t="s">
        <v>56</v>
      </c>
      <c r="E216" s="3" t="s">
        <v>236</v>
      </c>
      <c r="F216" s="3" t="s">
        <v>16</v>
      </c>
      <c r="G216" s="3" t="s">
        <v>234</v>
      </c>
      <c r="H216" s="4">
        <v>51.0</v>
      </c>
      <c r="I216" s="4">
        <v>18.8</v>
      </c>
      <c r="J216" s="4">
        <v>203.0</v>
      </c>
      <c r="K216" s="4">
        <v>4100.0</v>
      </c>
      <c r="L216" s="3" t="s">
        <v>18</v>
      </c>
    </row>
    <row r="217" ht="22.5" customHeight="1">
      <c r="A217" s="3" t="s">
        <v>79</v>
      </c>
      <c r="B217" s="4">
        <v>39.0</v>
      </c>
      <c r="C217" s="5" t="s">
        <v>272</v>
      </c>
      <c r="D217" s="3" t="s">
        <v>56</v>
      </c>
      <c r="E217" s="3" t="s">
        <v>160</v>
      </c>
      <c r="F217" s="3" t="s">
        <v>26</v>
      </c>
      <c r="G217" s="3" t="s">
        <v>234</v>
      </c>
      <c r="H217" s="4">
        <v>46.9</v>
      </c>
      <c r="I217" s="4">
        <v>16.6</v>
      </c>
      <c r="J217" s="4">
        <v>192.0</v>
      </c>
      <c r="K217" s="4">
        <v>2700.0</v>
      </c>
      <c r="L217" s="3" t="s">
        <v>20</v>
      </c>
    </row>
    <row r="218" ht="22.5" customHeight="1">
      <c r="A218" s="3" t="s">
        <v>79</v>
      </c>
      <c r="B218" s="4">
        <v>40.0</v>
      </c>
      <c r="C218" s="5" t="s">
        <v>272</v>
      </c>
      <c r="D218" s="3" t="s">
        <v>56</v>
      </c>
      <c r="E218" s="3" t="s">
        <v>161</v>
      </c>
      <c r="F218" s="3" t="s">
        <v>26</v>
      </c>
      <c r="G218" s="3" t="s">
        <v>234</v>
      </c>
      <c r="H218" s="4">
        <v>53.5</v>
      </c>
      <c r="I218" s="4">
        <v>19.9</v>
      </c>
      <c r="J218" s="4">
        <v>205.0</v>
      </c>
      <c r="K218" s="4">
        <v>4500.0</v>
      </c>
      <c r="L218" s="3" t="s">
        <v>18</v>
      </c>
    </row>
    <row r="219" ht="22.5" customHeight="1">
      <c r="A219" s="3" t="s">
        <v>79</v>
      </c>
      <c r="B219" s="4">
        <v>41.0</v>
      </c>
      <c r="C219" s="5" t="s">
        <v>272</v>
      </c>
      <c r="D219" s="3" t="s">
        <v>56</v>
      </c>
      <c r="E219" s="3" t="s">
        <v>237</v>
      </c>
      <c r="F219" s="3" t="s">
        <v>16</v>
      </c>
      <c r="G219" s="3" t="s">
        <v>234</v>
      </c>
      <c r="H219" s="4">
        <v>49.0</v>
      </c>
      <c r="I219" s="4">
        <v>19.5</v>
      </c>
      <c r="J219" s="4">
        <v>210.0</v>
      </c>
      <c r="K219" s="4">
        <v>3950.0</v>
      </c>
      <c r="L219" s="3" t="s">
        <v>18</v>
      </c>
    </row>
    <row r="220" ht="22.5" customHeight="1">
      <c r="A220" s="3" t="s">
        <v>79</v>
      </c>
      <c r="B220" s="4">
        <v>42.0</v>
      </c>
      <c r="C220" s="5" t="s">
        <v>272</v>
      </c>
      <c r="D220" s="3" t="s">
        <v>56</v>
      </c>
      <c r="E220" s="3" t="s">
        <v>238</v>
      </c>
      <c r="F220" s="3" t="s">
        <v>16</v>
      </c>
      <c r="G220" s="3" t="s">
        <v>234</v>
      </c>
      <c r="H220" s="4">
        <v>46.2</v>
      </c>
      <c r="I220" s="4">
        <v>17.5</v>
      </c>
      <c r="J220" s="4">
        <v>187.0</v>
      </c>
      <c r="K220" s="4">
        <v>3650.0</v>
      </c>
      <c r="L220" s="3" t="s">
        <v>20</v>
      </c>
    </row>
    <row r="221" ht="22.5" customHeight="1">
      <c r="A221" s="3" t="s">
        <v>79</v>
      </c>
      <c r="B221" s="4">
        <v>27.0</v>
      </c>
      <c r="C221" s="5" t="s">
        <v>272</v>
      </c>
      <c r="D221" s="3" t="s">
        <v>56</v>
      </c>
      <c r="E221" s="3" t="s">
        <v>141</v>
      </c>
      <c r="F221" s="3" t="s">
        <v>26</v>
      </c>
      <c r="G221" s="3" t="s">
        <v>233</v>
      </c>
      <c r="H221" s="4">
        <v>50.5</v>
      </c>
      <c r="I221" s="4">
        <v>18.4</v>
      </c>
      <c r="J221" s="4">
        <v>200.0</v>
      </c>
      <c r="K221" s="4">
        <v>3400.0</v>
      </c>
      <c r="L221" s="3" t="s">
        <v>20</v>
      </c>
    </row>
    <row r="222" ht="22.5" customHeight="1">
      <c r="A222" s="3" t="s">
        <v>79</v>
      </c>
      <c r="B222" s="4">
        <v>28.0</v>
      </c>
      <c r="C222" s="5" t="s">
        <v>272</v>
      </c>
      <c r="D222" s="3" t="s">
        <v>56</v>
      </c>
      <c r="E222" s="3" t="s">
        <v>143</v>
      </c>
      <c r="F222" s="3" t="s">
        <v>26</v>
      </c>
      <c r="G222" s="3" t="s">
        <v>233</v>
      </c>
      <c r="H222" s="4">
        <v>49.5</v>
      </c>
      <c r="I222" s="4">
        <v>19.0</v>
      </c>
      <c r="J222" s="4">
        <v>200.0</v>
      </c>
      <c r="K222" s="4">
        <v>3800.0</v>
      </c>
      <c r="L222" s="3" t="s">
        <v>18</v>
      </c>
    </row>
    <row r="223" ht="22.5" customHeight="1">
      <c r="A223" s="3" t="s">
        <v>79</v>
      </c>
      <c r="B223" s="4">
        <v>35.0</v>
      </c>
      <c r="C223" s="5" t="s">
        <v>272</v>
      </c>
      <c r="D223" s="3" t="s">
        <v>56</v>
      </c>
      <c r="E223" s="3" t="s">
        <v>152</v>
      </c>
      <c r="F223" s="3" t="s">
        <v>16</v>
      </c>
      <c r="G223" s="3" t="s">
        <v>233</v>
      </c>
      <c r="H223" s="4">
        <v>49.7</v>
      </c>
      <c r="I223" s="4">
        <v>18.6</v>
      </c>
      <c r="J223" s="4">
        <v>195.0</v>
      </c>
      <c r="K223" s="4">
        <v>3600.0</v>
      </c>
      <c r="L223" s="3" t="s">
        <v>18</v>
      </c>
    </row>
    <row r="224" ht="22.5" customHeight="1">
      <c r="A224" s="3" t="s">
        <v>79</v>
      </c>
      <c r="B224" s="4">
        <v>36.0</v>
      </c>
      <c r="C224" s="5" t="s">
        <v>272</v>
      </c>
      <c r="D224" s="3" t="s">
        <v>56</v>
      </c>
      <c r="E224" s="3" t="s">
        <v>154</v>
      </c>
      <c r="F224" s="3" t="s">
        <v>16</v>
      </c>
      <c r="G224" s="3" t="s">
        <v>233</v>
      </c>
      <c r="H224" s="4">
        <v>47.5</v>
      </c>
      <c r="I224" s="4">
        <v>16.8</v>
      </c>
      <c r="J224" s="4">
        <v>199.0</v>
      </c>
      <c r="K224" s="4">
        <v>3900.0</v>
      </c>
      <c r="L224" s="3" t="s">
        <v>20</v>
      </c>
    </row>
    <row r="225" ht="22.5" hidden="1" customHeight="1">
      <c r="A225" s="3" t="s">
        <v>124</v>
      </c>
      <c r="B225" s="4">
        <v>101.0</v>
      </c>
      <c r="C225" s="5" t="s">
        <v>270</v>
      </c>
      <c r="D225" s="3" t="s">
        <v>44</v>
      </c>
      <c r="E225" s="3" t="s">
        <v>125</v>
      </c>
      <c r="F225" s="3" t="s">
        <v>16</v>
      </c>
      <c r="G225" s="3" t="s">
        <v>126</v>
      </c>
      <c r="H225" s="4">
        <v>35.0</v>
      </c>
      <c r="I225" s="4">
        <v>17.9</v>
      </c>
      <c r="J225" s="4">
        <v>192.0</v>
      </c>
      <c r="K225" s="4">
        <v>3725.0</v>
      </c>
      <c r="L225" s="3" t="s">
        <v>20</v>
      </c>
    </row>
    <row r="226" ht="22.5" hidden="1" customHeight="1">
      <c r="A226" s="3" t="s">
        <v>124</v>
      </c>
      <c r="B226" s="4">
        <v>102.0</v>
      </c>
      <c r="C226" s="5" t="s">
        <v>270</v>
      </c>
      <c r="D226" s="3" t="s">
        <v>44</v>
      </c>
      <c r="E226" s="3" t="s">
        <v>127</v>
      </c>
      <c r="F226" s="3" t="s">
        <v>16</v>
      </c>
      <c r="G226" s="3" t="s">
        <v>126</v>
      </c>
      <c r="H226" s="4">
        <v>41.0</v>
      </c>
      <c r="I226" s="4">
        <v>20.0</v>
      </c>
      <c r="J226" s="4">
        <v>203.0</v>
      </c>
      <c r="K226" s="4">
        <v>4725.0</v>
      </c>
      <c r="L226" s="3" t="s">
        <v>18</v>
      </c>
    </row>
    <row r="227" ht="22.5" hidden="1" customHeight="1">
      <c r="A227" s="3" t="s">
        <v>124</v>
      </c>
      <c r="B227" s="4">
        <v>109.0</v>
      </c>
      <c r="C227" s="5" t="s">
        <v>271</v>
      </c>
      <c r="D227" s="3" t="s">
        <v>44</v>
      </c>
      <c r="E227" s="3" t="s">
        <v>75</v>
      </c>
      <c r="F227" s="3" t="s">
        <v>16</v>
      </c>
      <c r="G227" s="3" t="s">
        <v>126</v>
      </c>
      <c r="H227" s="4">
        <v>43.3</v>
      </c>
      <c r="I227" s="4">
        <v>14.0</v>
      </c>
      <c r="J227" s="4">
        <v>208.0</v>
      </c>
      <c r="K227" s="4">
        <v>4575.0</v>
      </c>
      <c r="L227" s="3" t="s">
        <v>20</v>
      </c>
    </row>
    <row r="228" ht="22.5" hidden="1" customHeight="1">
      <c r="A228" s="3" t="s">
        <v>124</v>
      </c>
      <c r="B228" s="4">
        <v>110.0</v>
      </c>
      <c r="C228" s="5" t="s">
        <v>271</v>
      </c>
      <c r="D228" s="3" t="s">
        <v>44</v>
      </c>
      <c r="E228" s="3" t="s">
        <v>76</v>
      </c>
      <c r="F228" s="3" t="s">
        <v>16</v>
      </c>
      <c r="G228" s="3" t="s">
        <v>126</v>
      </c>
      <c r="H228" s="4">
        <v>48.1</v>
      </c>
      <c r="I228" s="4">
        <v>15.1</v>
      </c>
      <c r="J228" s="4">
        <v>209.0</v>
      </c>
      <c r="K228" s="4">
        <v>5500.0</v>
      </c>
      <c r="L228" s="3" t="s">
        <v>18</v>
      </c>
    </row>
    <row r="229" ht="22.5" hidden="1" customHeight="1">
      <c r="A229" s="3" t="s">
        <v>124</v>
      </c>
      <c r="B229" s="4">
        <v>133.0</v>
      </c>
      <c r="C229" s="5" t="s">
        <v>270</v>
      </c>
      <c r="D229" s="3" t="s">
        <v>56</v>
      </c>
      <c r="E229" s="3" t="s">
        <v>165</v>
      </c>
      <c r="F229" s="3" t="s">
        <v>16</v>
      </c>
      <c r="G229" s="3" t="s">
        <v>166</v>
      </c>
      <c r="H229" s="4">
        <v>36.8</v>
      </c>
      <c r="I229" s="4">
        <v>18.5</v>
      </c>
      <c r="J229" s="4">
        <v>193.0</v>
      </c>
      <c r="K229" s="4">
        <v>3500.0</v>
      </c>
      <c r="L229" s="3" t="s">
        <v>20</v>
      </c>
    </row>
    <row r="230" ht="22.5" hidden="1" customHeight="1">
      <c r="A230" s="3" t="s">
        <v>124</v>
      </c>
      <c r="B230" s="4">
        <v>134.0</v>
      </c>
      <c r="C230" s="5" t="s">
        <v>270</v>
      </c>
      <c r="D230" s="3" t="s">
        <v>56</v>
      </c>
      <c r="E230" s="3" t="s">
        <v>167</v>
      </c>
      <c r="F230" s="3" t="s">
        <v>16</v>
      </c>
      <c r="G230" s="3" t="s">
        <v>166</v>
      </c>
      <c r="H230" s="4">
        <v>37.5</v>
      </c>
      <c r="I230" s="4">
        <v>18.5</v>
      </c>
      <c r="J230" s="4">
        <v>199.0</v>
      </c>
      <c r="K230" s="4">
        <v>4475.0</v>
      </c>
      <c r="L230" s="3" t="s">
        <v>18</v>
      </c>
    </row>
    <row r="231" ht="22.5" hidden="1" customHeight="1">
      <c r="A231" s="3" t="s">
        <v>124</v>
      </c>
      <c r="B231" s="4">
        <v>107.0</v>
      </c>
      <c r="C231" s="5" t="s">
        <v>271</v>
      </c>
      <c r="D231" s="3" t="s">
        <v>44</v>
      </c>
      <c r="E231" s="3" t="s">
        <v>73</v>
      </c>
      <c r="F231" s="3" t="s">
        <v>16</v>
      </c>
      <c r="G231" s="3" t="s">
        <v>166</v>
      </c>
      <c r="H231" s="4">
        <v>41.7</v>
      </c>
      <c r="I231" s="4">
        <v>14.7</v>
      </c>
      <c r="J231" s="4">
        <v>210.0</v>
      </c>
      <c r="K231" s="4">
        <v>4700.0</v>
      </c>
      <c r="L231" s="3" t="s">
        <v>20</v>
      </c>
    </row>
    <row r="232" ht="22.5" hidden="1" customHeight="1">
      <c r="A232" s="3" t="s">
        <v>124</v>
      </c>
      <c r="B232" s="4">
        <v>108.0</v>
      </c>
      <c r="C232" s="5" t="s">
        <v>271</v>
      </c>
      <c r="D232" s="3" t="s">
        <v>44</v>
      </c>
      <c r="E232" s="3" t="s">
        <v>74</v>
      </c>
      <c r="F232" s="3" t="s">
        <v>16</v>
      </c>
      <c r="G232" s="3" t="s">
        <v>166</v>
      </c>
      <c r="H232" s="4">
        <v>53.4</v>
      </c>
      <c r="I232" s="4">
        <v>15.8</v>
      </c>
      <c r="J232" s="4">
        <v>219.0</v>
      </c>
      <c r="K232" s="4">
        <v>5500.0</v>
      </c>
      <c r="L232" s="3" t="s">
        <v>18</v>
      </c>
    </row>
    <row r="233" ht="22.5" hidden="1" customHeight="1">
      <c r="A233" s="3" t="s">
        <v>124</v>
      </c>
      <c r="B233" s="4">
        <v>111.0</v>
      </c>
      <c r="C233" s="5" t="s">
        <v>270</v>
      </c>
      <c r="D233" s="3" t="s">
        <v>44</v>
      </c>
      <c r="E233" s="3" t="s">
        <v>136</v>
      </c>
      <c r="F233" s="3" t="s">
        <v>16</v>
      </c>
      <c r="G233" s="3" t="s">
        <v>137</v>
      </c>
      <c r="H233" s="4">
        <v>38.1</v>
      </c>
      <c r="I233" s="4">
        <v>16.5</v>
      </c>
      <c r="J233" s="4">
        <v>198.0</v>
      </c>
      <c r="K233" s="4">
        <v>3825.0</v>
      </c>
      <c r="L233" s="3" t="s">
        <v>20</v>
      </c>
    </row>
    <row r="234" ht="22.5" hidden="1" customHeight="1">
      <c r="A234" s="3" t="s">
        <v>124</v>
      </c>
      <c r="B234" s="4">
        <v>112.0</v>
      </c>
      <c r="C234" s="5" t="s">
        <v>270</v>
      </c>
      <c r="D234" s="3" t="s">
        <v>44</v>
      </c>
      <c r="E234" s="3" t="s">
        <v>138</v>
      </c>
      <c r="F234" s="3" t="s">
        <v>16</v>
      </c>
      <c r="G234" s="3" t="s">
        <v>137</v>
      </c>
      <c r="H234" s="4">
        <v>45.6</v>
      </c>
      <c r="I234" s="4">
        <v>20.3</v>
      </c>
      <c r="J234" s="4">
        <v>191.0</v>
      </c>
      <c r="K234" s="4">
        <v>4600.0</v>
      </c>
      <c r="L234" s="3" t="s">
        <v>18</v>
      </c>
    </row>
    <row r="235" ht="22.5" hidden="1" customHeight="1">
      <c r="A235" s="3" t="s">
        <v>124</v>
      </c>
      <c r="B235" s="4">
        <v>135.0</v>
      </c>
      <c r="C235" s="5" t="s">
        <v>270</v>
      </c>
      <c r="D235" s="3" t="s">
        <v>56</v>
      </c>
      <c r="E235" s="3" t="s">
        <v>168</v>
      </c>
      <c r="F235" s="3" t="s">
        <v>16</v>
      </c>
      <c r="G235" s="3" t="s">
        <v>169</v>
      </c>
      <c r="H235" s="4">
        <v>38.1</v>
      </c>
      <c r="I235" s="4">
        <v>17.6</v>
      </c>
      <c r="J235" s="4">
        <v>187.0</v>
      </c>
      <c r="K235" s="4">
        <v>3425.0</v>
      </c>
      <c r="L235" s="3" t="s">
        <v>20</v>
      </c>
    </row>
    <row r="236" ht="22.5" hidden="1" customHeight="1">
      <c r="A236" s="3" t="s">
        <v>124</v>
      </c>
      <c r="B236" s="4">
        <v>136.0</v>
      </c>
      <c r="C236" s="5" t="s">
        <v>270</v>
      </c>
      <c r="D236" s="3" t="s">
        <v>56</v>
      </c>
      <c r="E236" s="3" t="s">
        <v>170</v>
      </c>
      <c r="F236" s="3" t="s">
        <v>16</v>
      </c>
      <c r="G236" s="3" t="s">
        <v>169</v>
      </c>
      <c r="H236" s="4">
        <v>41.1</v>
      </c>
      <c r="I236" s="4">
        <v>17.5</v>
      </c>
      <c r="J236" s="4">
        <v>190.0</v>
      </c>
      <c r="K236" s="4">
        <v>3900.0</v>
      </c>
      <c r="L236" s="3" t="s">
        <v>18</v>
      </c>
    </row>
    <row r="237" ht="22.5" hidden="1" customHeight="1">
      <c r="A237" s="3" t="s">
        <v>124</v>
      </c>
      <c r="B237" s="4">
        <v>147.0</v>
      </c>
      <c r="C237" s="5" t="s">
        <v>270</v>
      </c>
      <c r="D237" s="3" t="s">
        <v>56</v>
      </c>
      <c r="E237" s="3" t="s">
        <v>182</v>
      </c>
      <c r="F237" s="3" t="s">
        <v>16</v>
      </c>
      <c r="G237" s="3" t="s">
        <v>169</v>
      </c>
      <c r="H237" s="4">
        <v>39.2</v>
      </c>
      <c r="I237" s="4">
        <v>18.6</v>
      </c>
      <c r="J237" s="4">
        <v>190.0</v>
      </c>
      <c r="K237" s="4">
        <v>4250.0</v>
      </c>
      <c r="L237" s="3" t="s">
        <v>18</v>
      </c>
    </row>
    <row r="238" ht="22.5" hidden="1" customHeight="1">
      <c r="A238" s="3" t="s">
        <v>124</v>
      </c>
      <c r="B238" s="4">
        <v>148.0</v>
      </c>
      <c r="C238" s="5" t="s">
        <v>270</v>
      </c>
      <c r="D238" s="3" t="s">
        <v>56</v>
      </c>
      <c r="E238" s="3" t="s">
        <v>183</v>
      </c>
      <c r="F238" s="3" t="s">
        <v>16</v>
      </c>
      <c r="G238" s="3" t="s">
        <v>169</v>
      </c>
      <c r="H238" s="4">
        <v>36.6</v>
      </c>
      <c r="I238" s="4">
        <v>18.4</v>
      </c>
      <c r="J238" s="4">
        <v>184.0</v>
      </c>
      <c r="K238" s="4">
        <v>3475.0</v>
      </c>
      <c r="L238" s="3" t="s">
        <v>20</v>
      </c>
    </row>
    <row r="239" ht="22.5" hidden="1" customHeight="1">
      <c r="A239" s="3" t="s">
        <v>124</v>
      </c>
      <c r="B239" s="4">
        <v>141.0</v>
      </c>
      <c r="C239" s="5" t="s">
        <v>270</v>
      </c>
      <c r="D239" s="3" t="s">
        <v>56</v>
      </c>
      <c r="E239" s="3" t="s">
        <v>175</v>
      </c>
      <c r="F239" s="3" t="s">
        <v>16</v>
      </c>
      <c r="G239" s="3" t="s">
        <v>176</v>
      </c>
      <c r="H239" s="4">
        <v>40.2</v>
      </c>
      <c r="I239" s="4">
        <v>17.1</v>
      </c>
      <c r="J239" s="4">
        <v>193.0</v>
      </c>
      <c r="K239" s="4">
        <v>3400.0</v>
      </c>
      <c r="L239" s="3" t="s">
        <v>20</v>
      </c>
    </row>
    <row r="240" ht="22.5" hidden="1" customHeight="1">
      <c r="A240" s="3" t="s">
        <v>124</v>
      </c>
      <c r="B240" s="4">
        <v>142.0</v>
      </c>
      <c r="C240" s="5" t="s">
        <v>270</v>
      </c>
      <c r="D240" s="3" t="s">
        <v>56</v>
      </c>
      <c r="E240" s="3" t="s">
        <v>177</v>
      </c>
      <c r="F240" s="3" t="s">
        <v>16</v>
      </c>
      <c r="G240" s="3" t="s">
        <v>176</v>
      </c>
      <c r="H240" s="4">
        <v>40.6</v>
      </c>
      <c r="I240" s="4">
        <v>17.2</v>
      </c>
      <c r="J240" s="4">
        <v>187.0</v>
      </c>
      <c r="K240" s="4">
        <v>3475.0</v>
      </c>
      <c r="L240" s="3" t="s">
        <v>18</v>
      </c>
    </row>
    <row r="241" ht="22.5" hidden="1" customHeight="1">
      <c r="A241" s="3" t="s">
        <v>124</v>
      </c>
      <c r="B241" s="4">
        <v>103.0</v>
      </c>
      <c r="C241" s="5" t="s">
        <v>270</v>
      </c>
      <c r="D241" s="3" t="s">
        <v>44</v>
      </c>
      <c r="E241" s="3" t="s">
        <v>119</v>
      </c>
      <c r="F241" s="3" t="s">
        <v>16</v>
      </c>
      <c r="G241" s="3" t="s">
        <v>128</v>
      </c>
      <c r="H241" s="4">
        <v>37.7</v>
      </c>
      <c r="I241" s="4">
        <v>16.0</v>
      </c>
      <c r="J241" s="4">
        <v>183.0</v>
      </c>
      <c r="K241" s="4">
        <v>3075.0</v>
      </c>
      <c r="L241" s="3" t="s">
        <v>20</v>
      </c>
    </row>
    <row r="242" ht="22.5" hidden="1" customHeight="1">
      <c r="A242" s="3" t="s">
        <v>124</v>
      </c>
      <c r="B242" s="4">
        <v>104.0</v>
      </c>
      <c r="C242" s="5" t="s">
        <v>270</v>
      </c>
      <c r="D242" s="3" t="s">
        <v>44</v>
      </c>
      <c r="E242" s="3" t="s">
        <v>120</v>
      </c>
      <c r="F242" s="3" t="s">
        <v>16</v>
      </c>
      <c r="G242" s="3" t="s">
        <v>128</v>
      </c>
      <c r="H242" s="4">
        <v>37.8</v>
      </c>
      <c r="I242" s="4">
        <v>20.0</v>
      </c>
      <c r="J242" s="4">
        <v>190.0</v>
      </c>
      <c r="K242" s="4">
        <v>4250.0</v>
      </c>
      <c r="L242" s="3" t="s">
        <v>18</v>
      </c>
    </row>
    <row r="243" ht="22.5" hidden="1" customHeight="1">
      <c r="A243" s="3" t="s">
        <v>124</v>
      </c>
      <c r="B243" s="4">
        <v>105.0</v>
      </c>
      <c r="C243" s="5" t="s">
        <v>270</v>
      </c>
      <c r="D243" s="3" t="s">
        <v>44</v>
      </c>
      <c r="E243" s="3" t="s">
        <v>129</v>
      </c>
      <c r="F243" s="3" t="s">
        <v>16</v>
      </c>
      <c r="G243" s="3" t="s">
        <v>128</v>
      </c>
      <c r="H243" s="4">
        <v>37.9</v>
      </c>
      <c r="I243" s="4">
        <v>18.6</v>
      </c>
      <c r="J243" s="4">
        <v>193.0</v>
      </c>
      <c r="K243" s="4">
        <v>2925.0</v>
      </c>
      <c r="L243" s="3" t="s">
        <v>20</v>
      </c>
    </row>
    <row r="244" ht="22.5" hidden="1" customHeight="1">
      <c r="A244" s="3" t="s">
        <v>124</v>
      </c>
      <c r="B244" s="4">
        <v>106.0</v>
      </c>
      <c r="C244" s="5" t="s">
        <v>270</v>
      </c>
      <c r="D244" s="3" t="s">
        <v>44</v>
      </c>
      <c r="E244" s="3" t="s">
        <v>130</v>
      </c>
      <c r="F244" s="3" t="s">
        <v>16</v>
      </c>
      <c r="G244" s="3" t="s">
        <v>128</v>
      </c>
      <c r="H244" s="4">
        <v>39.7</v>
      </c>
      <c r="I244" s="4">
        <v>18.9</v>
      </c>
      <c r="J244" s="4">
        <v>184.0</v>
      </c>
      <c r="K244" s="4">
        <v>3550.0</v>
      </c>
      <c r="L244" s="3" t="s">
        <v>18</v>
      </c>
    </row>
    <row r="245" ht="22.5" hidden="1" customHeight="1">
      <c r="A245" s="3" t="s">
        <v>124</v>
      </c>
      <c r="B245" s="4">
        <v>107.0</v>
      </c>
      <c r="C245" s="5" t="s">
        <v>270</v>
      </c>
      <c r="D245" s="3" t="s">
        <v>44</v>
      </c>
      <c r="E245" s="3" t="s">
        <v>131</v>
      </c>
      <c r="F245" s="3" t="s">
        <v>16</v>
      </c>
      <c r="G245" s="3" t="s">
        <v>128</v>
      </c>
      <c r="H245" s="4">
        <v>38.6</v>
      </c>
      <c r="I245" s="4">
        <v>17.2</v>
      </c>
      <c r="J245" s="4">
        <v>199.0</v>
      </c>
      <c r="K245" s="4">
        <v>3750.0</v>
      </c>
      <c r="L245" s="3" t="s">
        <v>20</v>
      </c>
    </row>
    <row r="246" ht="22.5" hidden="1" customHeight="1">
      <c r="A246" s="3" t="s">
        <v>124</v>
      </c>
      <c r="B246" s="4">
        <v>108.0</v>
      </c>
      <c r="C246" s="5" t="s">
        <v>270</v>
      </c>
      <c r="D246" s="3" t="s">
        <v>44</v>
      </c>
      <c r="E246" s="3" t="s">
        <v>132</v>
      </c>
      <c r="F246" s="3" t="s">
        <v>16</v>
      </c>
      <c r="G246" s="3" t="s">
        <v>128</v>
      </c>
      <c r="H246" s="4">
        <v>38.2</v>
      </c>
      <c r="I246" s="4">
        <v>20.0</v>
      </c>
      <c r="J246" s="4">
        <v>190.0</v>
      </c>
      <c r="K246" s="4">
        <v>3900.0</v>
      </c>
      <c r="L246" s="3" t="s">
        <v>18</v>
      </c>
    </row>
    <row r="247" ht="22.5" hidden="1" customHeight="1">
      <c r="A247" s="3" t="s">
        <v>124</v>
      </c>
      <c r="B247" s="4">
        <v>113.0</v>
      </c>
      <c r="C247" s="5" t="s">
        <v>270</v>
      </c>
      <c r="D247" s="3" t="s">
        <v>44</v>
      </c>
      <c r="E247" s="3" t="s">
        <v>139</v>
      </c>
      <c r="F247" s="3" t="s">
        <v>16</v>
      </c>
      <c r="G247" s="3" t="s">
        <v>128</v>
      </c>
      <c r="H247" s="4">
        <v>39.7</v>
      </c>
      <c r="I247" s="4">
        <v>17.7</v>
      </c>
      <c r="J247" s="4">
        <v>193.0</v>
      </c>
      <c r="K247" s="4">
        <v>3200.0</v>
      </c>
      <c r="L247" s="3" t="s">
        <v>20</v>
      </c>
    </row>
    <row r="248" ht="22.5" hidden="1" customHeight="1">
      <c r="A248" s="3" t="s">
        <v>124</v>
      </c>
      <c r="B248" s="4">
        <v>114.0</v>
      </c>
      <c r="C248" s="5" t="s">
        <v>270</v>
      </c>
      <c r="D248" s="3" t="s">
        <v>44</v>
      </c>
      <c r="E248" s="3" t="s">
        <v>140</v>
      </c>
      <c r="F248" s="3" t="s">
        <v>16</v>
      </c>
      <c r="G248" s="3" t="s">
        <v>128</v>
      </c>
      <c r="H248" s="4">
        <v>42.2</v>
      </c>
      <c r="I248" s="4">
        <v>19.5</v>
      </c>
      <c r="J248" s="4">
        <v>197.0</v>
      </c>
      <c r="K248" s="4">
        <v>4275.0</v>
      </c>
      <c r="L248" s="3" t="s">
        <v>18</v>
      </c>
    </row>
    <row r="249" ht="22.5" hidden="1" customHeight="1">
      <c r="A249" s="3" t="s">
        <v>124</v>
      </c>
      <c r="B249" s="4">
        <v>83.0</v>
      </c>
      <c r="C249" s="5" t="s">
        <v>271</v>
      </c>
      <c r="D249" s="3" t="s">
        <v>44</v>
      </c>
      <c r="E249" s="3" t="s">
        <v>33</v>
      </c>
      <c r="F249" s="3" t="s">
        <v>16</v>
      </c>
      <c r="G249" s="3" t="s">
        <v>128</v>
      </c>
      <c r="H249" s="4">
        <v>47.4</v>
      </c>
      <c r="I249" s="4">
        <v>14.6</v>
      </c>
      <c r="J249" s="4">
        <v>212.0</v>
      </c>
      <c r="K249" s="4">
        <v>4725.0</v>
      </c>
      <c r="L249" s="3" t="s">
        <v>20</v>
      </c>
    </row>
    <row r="250" ht="22.5" hidden="1" customHeight="1">
      <c r="A250" s="3" t="s">
        <v>124</v>
      </c>
      <c r="B250" s="4">
        <v>84.0</v>
      </c>
      <c r="C250" s="5" t="s">
        <v>271</v>
      </c>
      <c r="D250" s="3" t="s">
        <v>44</v>
      </c>
      <c r="E250" s="3" t="s">
        <v>34</v>
      </c>
      <c r="F250" s="3" t="s">
        <v>16</v>
      </c>
      <c r="G250" s="3" t="s">
        <v>128</v>
      </c>
      <c r="H250" s="4">
        <v>50.0</v>
      </c>
      <c r="I250" s="4">
        <v>15.9</v>
      </c>
      <c r="J250" s="4">
        <v>224.0</v>
      </c>
      <c r="K250" s="4">
        <v>5350.0</v>
      </c>
      <c r="L250" s="3" t="s">
        <v>18</v>
      </c>
    </row>
    <row r="251" ht="22.5" hidden="1" customHeight="1">
      <c r="A251" s="3" t="s">
        <v>124</v>
      </c>
      <c r="B251" s="4">
        <v>123.0</v>
      </c>
      <c r="C251" s="5" t="s">
        <v>270</v>
      </c>
      <c r="D251" s="3" t="s">
        <v>14</v>
      </c>
      <c r="E251" s="3" t="s">
        <v>152</v>
      </c>
      <c r="F251" s="3" t="s">
        <v>16</v>
      </c>
      <c r="G251" s="3" t="s">
        <v>153</v>
      </c>
      <c r="H251" s="4">
        <v>40.2</v>
      </c>
      <c r="I251" s="4">
        <v>17.0</v>
      </c>
      <c r="J251" s="4">
        <v>176.0</v>
      </c>
      <c r="K251" s="4">
        <v>3450.0</v>
      </c>
      <c r="L251" s="3" t="s">
        <v>20</v>
      </c>
    </row>
    <row r="252" ht="22.5" hidden="1" customHeight="1">
      <c r="A252" s="3" t="s">
        <v>124</v>
      </c>
      <c r="B252" s="4">
        <v>124.0</v>
      </c>
      <c r="C252" s="5" t="s">
        <v>270</v>
      </c>
      <c r="D252" s="3" t="s">
        <v>14</v>
      </c>
      <c r="E252" s="3" t="s">
        <v>154</v>
      </c>
      <c r="F252" s="3" t="s">
        <v>16</v>
      </c>
      <c r="G252" s="3" t="s">
        <v>153</v>
      </c>
      <c r="H252" s="4">
        <v>41.4</v>
      </c>
      <c r="I252" s="4">
        <v>18.5</v>
      </c>
      <c r="J252" s="4">
        <v>202.0</v>
      </c>
      <c r="K252" s="4">
        <v>3875.0</v>
      </c>
      <c r="L252" s="3" t="s">
        <v>18</v>
      </c>
    </row>
    <row r="253" ht="22.5" hidden="1" customHeight="1">
      <c r="A253" s="3" t="s">
        <v>124</v>
      </c>
      <c r="B253" s="4">
        <v>137.0</v>
      </c>
      <c r="C253" s="5" t="s">
        <v>270</v>
      </c>
      <c r="D253" s="3" t="s">
        <v>56</v>
      </c>
      <c r="E253" s="3" t="s">
        <v>171</v>
      </c>
      <c r="F253" s="3" t="s">
        <v>16</v>
      </c>
      <c r="G253" s="3" t="s">
        <v>153</v>
      </c>
      <c r="H253" s="4">
        <v>35.6</v>
      </c>
      <c r="I253" s="4">
        <v>17.5</v>
      </c>
      <c r="J253" s="4">
        <v>191.0</v>
      </c>
      <c r="K253" s="4">
        <v>3175.0</v>
      </c>
      <c r="L253" s="3" t="s">
        <v>20</v>
      </c>
    </row>
    <row r="254" ht="22.5" hidden="1" customHeight="1">
      <c r="A254" s="3" t="s">
        <v>124</v>
      </c>
      <c r="B254" s="4">
        <v>138.0</v>
      </c>
      <c r="C254" s="5" t="s">
        <v>270</v>
      </c>
      <c r="D254" s="3" t="s">
        <v>56</v>
      </c>
      <c r="E254" s="3" t="s">
        <v>172</v>
      </c>
      <c r="F254" s="3" t="s">
        <v>16</v>
      </c>
      <c r="G254" s="3" t="s">
        <v>153</v>
      </c>
      <c r="H254" s="4">
        <v>40.2</v>
      </c>
      <c r="I254" s="4">
        <v>20.1</v>
      </c>
      <c r="J254" s="4">
        <v>200.0</v>
      </c>
      <c r="K254" s="4">
        <v>3975.0</v>
      </c>
      <c r="L254" s="3" t="s">
        <v>18</v>
      </c>
    </row>
    <row r="255" ht="22.5" hidden="1" customHeight="1">
      <c r="A255" s="3" t="s">
        <v>124</v>
      </c>
      <c r="B255" s="4">
        <v>139.0</v>
      </c>
      <c r="C255" s="5" t="s">
        <v>270</v>
      </c>
      <c r="D255" s="3" t="s">
        <v>56</v>
      </c>
      <c r="E255" s="3" t="s">
        <v>173</v>
      </c>
      <c r="F255" s="3" t="s">
        <v>26</v>
      </c>
      <c r="G255" s="3" t="s">
        <v>153</v>
      </c>
      <c r="H255" s="4">
        <v>37.0</v>
      </c>
      <c r="I255" s="4">
        <v>16.5</v>
      </c>
      <c r="J255" s="4">
        <v>185.0</v>
      </c>
      <c r="K255" s="4">
        <v>3400.0</v>
      </c>
      <c r="L255" s="3" t="s">
        <v>20</v>
      </c>
    </row>
    <row r="256" ht="22.5" hidden="1" customHeight="1">
      <c r="A256" s="3" t="s">
        <v>124</v>
      </c>
      <c r="B256" s="4">
        <v>140.0</v>
      </c>
      <c r="C256" s="5" t="s">
        <v>270</v>
      </c>
      <c r="D256" s="3" t="s">
        <v>56</v>
      </c>
      <c r="E256" s="3" t="s">
        <v>174</v>
      </c>
      <c r="F256" s="3" t="s">
        <v>26</v>
      </c>
      <c r="G256" s="3" t="s">
        <v>153</v>
      </c>
      <c r="H256" s="4">
        <v>39.7</v>
      </c>
      <c r="I256" s="4">
        <v>17.9</v>
      </c>
      <c r="J256" s="4">
        <v>193.0</v>
      </c>
      <c r="K256" s="4">
        <v>4250.0</v>
      </c>
      <c r="L256" s="3" t="s">
        <v>18</v>
      </c>
    </row>
    <row r="257" ht="22.5" hidden="1" customHeight="1">
      <c r="A257" s="3" t="s">
        <v>124</v>
      </c>
      <c r="B257" s="4">
        <v>143.0</v>
      </c>
      <c r="C257" s="5" t="s">
        <v>270</v>
      </c>
      <c r="D257" s="3" t="s">
        <v>56</v>
      </c>
      <c r="E257" s="3" t="s">
        <v>178</v>
      </c>
      <c r="F257" s="3" t="s">
        <v>16</v>
      </c>
      <c r="G257" s="3" t="s">
        <v>153</v>
      </c>
      <c r="H257" s="4">
        <v>32.1</v>
      </c>
      <c r="I257" s="4">
        <v>15.5</v>
      </c>
      <c r="J257" s="4">
        <v>188.0</v>
      </c>
      <c r="K257" s="4">
        <v>3050.0</v>
      </c>
      <c r="L257" s="3" t="s">
        <v>20</v>
      </c>
    </row>
    <row r="258" ht="22.5" hidden="1" customHeight="1">
      <c r="A258" s="3" t="s">
        <v>124</v>
      </c>
      <c r="B258" s="4">
        <v>144.0</v>
      </c>
      <c r="C258" s="5" t="s">
        <v>270</v>
      </c>
      <c r="D258" s="3" t="s">
        <v>56</v>
      </c>
      <c r="E258" s="3" t="s">
        <v>179</v>
      </c>
      <c r="F258" s="3" t="s">
        <v>16</v>
      </c>
      <c r="G258" s="3" t="s">
        <v>153</v>
      </c>
      <c r="H258" s="4">
        <v>40.7</v>
      </c>
      <c r="I258" s="4">
        <v>17.0</v>
      </c>
      <c r="J258" s="4">
        <v>190.0</v>
      </c>
      <c r="K258" s="4">
        <v>3725.0</v>
      </c>
      <c r="L258" s="3" t="s">
        <v>18</v>
      </c>
    </row>
    <row r="259" ht="22.5" hidden="1" customHeight="1">
      <c r="A259" s="3" t="s">
        <v>124</v>
      </c>
      <c r="B259" s="4">
        <v>145.0</v>
      </c>
      <c r="C259" s="5" t="s">
        <v>270</v>
      </c>
      <c r="D259" s="3" t="s">
        <v>56</v>
      </c>
      <c r="E259" s="3" t="s">
        <v>180</v>
      </c>
      <c r="F259" s="3" t="s">
        <v>16</v>
      </c>
      <c r="G259" s="3" t="s">
        <v>153</v>
      </c>
      <c r="H259" s="4">
        <v>37.3</v>
      </c>
      <c r="I259" s="4">
        <v>16.8</v>
      </c>
      <c r="J259" s="4">
        <v>192.0</v>
      </c>
      <c r="K259" s="4">
        <v>3000.0</v>
      </c>
      <c r="L259" s="3" t="s">
        <v>20</v>
      </c>
    </row>
    <row r="260" ht="22.5" hidden="1" customHeight="1">
      <c r="A260" s="3" t="s">
        <v>124</v>
      </c>
      <c r="B260" s="4">
        <v>146.0</v>
      </c>
      <c r="C260" s="5" t="s">
        <v>270</v>
      </c>
      <c r="D260" s="3" t="s">
        <v>56</v>
      </c>
      <c r="E260" s="3" t="s">
        <v>181</v>
      </c>
      <c r="F260" s="3" t="s">
        <v>16</v>
      </c>
      <c r="G260" s="3" t="s">
        <v>153</v>
      </c>
      <c r="H260" s="4">
        <v>39.0</v>
      </c>
      <c r="I260" s="4">
        <v>18.7</v>
      </c>
      <c r="J260" s="4">
        <v>185.0</v>
      </c>
      <c r="K260" s="4">
        <v>3650.0</v>
      </c>
      <c r="L260" s="3" t="s">
        <v>18</v>
      </c>
    </row>
    <row r="261" ht="22.5" hidden="1" customHeight="1">
      <c r="A261" s="3" t="s">
        <v>124</v>
      </c>
      <c r="B261" s="4">
        <v>115.0</v>
      </c>
      <c r="C261" s="5" t="s">
        <v>270</v>
      </c>
      <c r="D261" s="3" t="s">
        <v>44</v>
      </c>
      <c r="E261" s="3" t="s">
        <v>141</v>
      </c>
      <c r="F261" s="3" t="s">
        <v>16</v>
      </c>
      <c r="G261" s="3" t="s">
        <v>142</v>
      </c>
      <c r="H261" s="4">
        <v>39.6</v>
      </c>
      <c r="I261" s="4">
        <v>20.7</v>
      </c>
      <c r="J261" s="4">
        <v>191.0</v>
      </c>
      <c r="K261" s="4">
        <v>3900.0</v>
      </c>
      <c r="L261" s="3" t="s">
        <v>20</v>
      </c>
    </row>
    <row r="262" ht="22.5" hidden="1" customHeight="1">
      <c r="A262" s="3" t="s">
        <v>124</v>
      </c>
      <c r="B262" s="4">
        <v>116.0</v>
      </c>
      <c r="C262" s="5" t="s">
        <v>270</v>
      </c>
      <c r="D262" s="3" t="s">
        <v>44</v>
      </c>
      <c r="E262" s="3" t="s">
        <v>143</v>
      </c>
      <c r="F262" s="3" t="s">
        <v>16</v>
      </c>
      <c r="G262" s="3" t="s">
        <v>142</v>
      </c>
      <c r="H262" s="4">
        <v>42.7</v>
      </c>
      <c r="I262" s="4">
        <v>18.3</v>
      </c>
      <c r="J262" s="4">
        <v>196.0</v>
      </c>
      <c r="K262" s="4">
        <v>4075.0</v>
      </c>
      <c r="L262" s="3" t="s">
        <v>18</v>
      </c>
    </row>
    <row r="263" ht="22.5" hidden="1" customHeight="1">
      <c r="A263" s="3" t="s">
        <v>124</v>
      </c>
      <c r="B263" s="4">
        <v>121.0</v>
      </c>
      <c r="C263" s="5" t="s">
        <v>270</v>
      </c>
      <c r="D263" s="3" t="s">
        <v>14</v>
      </c>
      <c r="E263" s="3" t="s">
        <v>150</v>
      </c>
      <c r="F263" s="3" t="s">
        <v>26</v>
      </c>
      <c r="G263" s="3" t="s">
        <v>142</v>
      </c>
      <c r="H263" s="4">
        <v>36.2</v>
      </c>
      <c r="I263" s="4">
        <v>17.2</v>
      </c>
      <c r="J263" s="4">
        <v>187.0</v>
      </c>
      <c r="K263" s="4">
        <v>3150.0</v>
      </c>
      <c r="L263" s="3" t="s">
        <v>20</v>
      </c>
    </row>
    <row r="264" ht="22.5" hidden="1" customHeight="1">
      <c r="A264" s="3" t="s">
        <v>124</v>
      </c>
      <c r="B264" s="4">
        <v>122.0</v>
      </c>
      <c r="C264" s="5" t="s">
        <v>270</v>
      </c>
      <c r="D264" s="3" t="s">
        <v>14</v>
      </c>
      <c r="E264" s="3" t="s">
        <v>151</v>
      </c>
      <c r="F264" s="3" t="s">
        <v>26</v>
      </c>
      <c r="G264" s="3" t="s">
        <v>142</v>
      </c>
      <c r="H264" s="4">
        <v>37.7</v>
      </c>
      <c r="I264" s="4">
        <v>19.8</v>
      </c>
      <c r="J264" s="4">
        <v>198.0</v>
      </c>
      <c r="K264" s="4">
        <v>3500.0</v>
      </c>
      <c r="L264" s="3" t="s">
        <v>18</v>
      </c>
    </row>
    <row r="265" ht="22.5" hidden="1" customHeight="1">
      <c r="A265" s="3" t="s">
        <v>124</v>
      </c>
      <c r="B265" s="4">
        <v>149.0</v>
      </c>
      <c r="C265" s="5" t="s">
        <v>270</v>
      </c>
      <c r="D265" s="3" t="s">
        <v>56</v>
      </c>
      <c r="E265" s="3" t="s">
        <v>184</v>
      </c>
      <c r="F265" s="3" t="s">
        <v>16</v>
      </c>
      <c r="G265" s="3" t="s">
        <v>142</v>
      </c>
      <c r="H265" s="4">
        <v>36.0</v>
      </c>
      <c r="I265" s="4">
        <v>17.8</v>
      </c>
      <c r="J265" s="4">
        <v>195.0</v>
      </c>
      <c r="K265" s="4">
        <v>3450.0</v>
      </c>
      <c r="L265" s="3" t="s">
        <v>20</v>
      </c>
    </row>
    <row r="266" ht="22.5" hidden="1" customHeight="1">
      <c r="A266" s="3" t="s">
        <v>124</v>
      </c>
      <c r="B266" s="4">
        <v>150.0</v>
      </c>
      <c r="C266" s="5" t="s">
        <v>270</v>
      </c>
      <c r="D266" s="3" t="s">
        <v>56</v>
      </c>
      <c r="E266" s="3" t="s">
        <v>185</v>
      </c>
      <c r="F266" s="3" t="s">
        <v>16</v>
      </c>
      <c r="G266" s="3" t="s">
        <v>142</v>
      </c>
      <c r="H266" s="4">
        <v>37.8</v>
      </c>
      <c r="I266" s="4">
        <v>18.1</v>
      </c>
      <c r="J266" s="4">
        <v>193.0</v>
      </c>
      <c r="K266" s="4">
        <v>3750.0</v>
      </c>
      <c r="L266" s="3" t="s">
        <v>18</v>
      </c>
    </row>
    <row r="267" ht="22.5" hidden="1" customHeight="1">
      <c r="A267" s="3" t="s">
        <v>124</v>
      </c>
      <c r="B267" s="4">
        <v>151.0</v>
      </c>
      <c r="C267" s="5" t="s">
        <v>270</v>
      </c>
      <c r="D267" s="3" t="s">
        <v>56</v>
      </c>
      <c r="E267" s="3" t="s">
        <v>186</v>
      </c>
      <c r="F267" s="3" t="s">
        <v>16</v>
      </c>
      <c r="G267" s="3" t="s">
        <v>142</v>
      </c>
      <c r="H267" s="4">
        <v>36.0</v>
      </c>
      <c r="I267" s="4">
        <v>17.1</v>
      </c>
      <c r="J267" s="4">
        <v>187.0</v>
      </c>
      <c r="K267" s="4">
        <v>3700.0</v>
      </c>
      <c r="L267" s="3" t="s">
        <v>20</v>
      </c>
    </row>
    <row r="268" ht="22.5" hidden="1" customHeight="1">
      <c r="A268" s="3" t="s">
        <v>124</v>
      </c>
      <c r="B268" s="4">
        <v>152.0</v>
      </c>
      <c r="C268" s="5" t="s">
        <v>270</v>
      </c>
      <c r="D268" s="3" t="s">
        <v>56</v>
      </c>
      <c r="E268" s="3" t="s">
        <v>187</v>
      </c>
      <c r="F268" s="3" t="s">
        <v>16</v>
      </c>
      <c r="G268" s="3" t="s">
        <v>142</v>
      </c>
      <c r="H268" s="4">
        <v>41.5</v>
      </c>
      <c r="I268" s="4">
        <v>18.5</v>
      </c>
      <c r="J268" s="4">
        <v>201.0</v>
      </c>
      <c r="K268" s="4">
        <v>4000.0</v>
      </c>
      <c r="L268" s="3" t="s">
        <v>18</v>
      </c>
    </row>
    <row r="269" ht="22.5" hidden="1" customHeight="1">
      <c r="A269" s="3" t="s">
        <v>124</v>
      </c>
      <c r="B269" s="4">
        <v>45.0</v>
      </c>
      <c r="C269" s="5" t="s">
        <v>272</v>
      </c>
      <c r="D269" s="3" t="s">
        <v>56</v>
      </c>
      <c r="E269" s="3" t="s">
        <v>241</v>
      </c>
      <c r="F269" s="3" t="s">
        <v>16</v>
      </c>
      <c r="G269" s="3" t="s">
        <v>142</v>
      </c>
      <c r="H269" s="4">
        <v>50.9</v>
      </c>
      <c r="I269" s="4">
        <v>17.9</v>
      </c>
      <c r="J269" s="4">
        <v>196.0</v>
      </c>
      <c r="K269" s="4">
        <v>3675.0</v>
      </c>
      <c r="L269" s="3" t="s">
        <v>20</v>
      </c>
    </row>
    <row r="270" ht="22.5" hidden="1" customHeight="1">
      <c r="A270" s="3" t="s">
        <v>124</v>
      </c>
      <c r="B270" s="4">
        <v>46.0</v>
      </c>
      <c r="C270" s="5" t="s">
        <v>272</v>
      </c>
      <c r="D270" s="3" t="s">
        <v>56</v>
      </c>
      <c r="E270" s="3" t="s">
        <v>242</v>
      </c>
      <c r="F270" s="3" t="s">
        <v>16</v>
      </c>
      <c r="G270" s="3" t="s">
        <v>142</v>
      </c>
      <c r="H270" s="4">
        <v>50.8</v>
      </c>
      <c r="I270" s="4">
        <v>18.5</v>
      </c>
      <c r="J270" s="4">
        <v>201.0</v>
      </c>
      <c r="K270" s="4">
        <v>4450.0</v>
      </c>
      <c r="L270" s="3" t="s">
        <v>18</v>
      </c>
    </row>
    <row r="271" ht="22.5" hidden="1" customHeight="1">
      <c r="A271" s="3" t="s">
        <v>124</v>
      </c>
      <c r="B271" s="4">
        <v>117.0</v>
      </c>
      <c r="C271" s="5" t="s">
        <v>270</v>
      </c>
      <c r="D271" s="3" t="s">
        <v>14</v>
      </c>
      <c r="E271" s="3" t="s">
        <v>144</v>
      </c>
      <c r="F271" s="3" t="s">
        <v>16</v>
      </c>
      <c r="G271" s="3" t="s">
        <v>145</v>
      </c>
      <c r="H271" s="4">
        <v>38.6</v>
      </c>
      <c r="I271" s="4">
        <v>17.0</v>
      </c>
      <c r="J271" s="4">
        <v>188.0</v>
      </c>
      <c r="K271" s="4">
        <v>2900.0</v>
      </c>
      <c r="L271" s="3" t="s">
        <v>20</v>
      </c>
    </row>
    <row r="272" ht="22.5" hidden="1" customHeight="1">
      <c r="A272" s="3" t="s">
        <v>124</v>
      </c>
      <c r="B272" s="4">
        <v>118.0</v>
      </c>
      <c r="C272" s="5" t="s">
        <v>270</v>
      </c>
      <c r="D272" s="3" t="s">
        <v>14</v>
      </c>
      <c r="E272" s="3" t="s">
        <v>146</v>
      </c>
      <c r="F272" s="3" t="s">
        <v>16</v>
      </c>
      <c r="G272" s="3" t="s">
        <v>145</v>
      </c>
      <c r="H272" s="4">
        <v>37.3</v>
      </c>
      <c r="I272" s="4">
        <v>20.5</v>
      </c>
      <c r="J272" s="4">
        <v>199.0</v>
      </c>
      <c r="K272" s="4">
        <v>3775.0</v>
      </c>
      <c r="L272" s="3" t="s">
        <v>18</v>
      </c>
    </row>
    <row r="273" ht="22.5" hidden="1" customHeight="1">
      <c r="A273" s="3" t="s">
        <v>124</v>
      </c>
      <c r="B273" s="4">
        <v>125.0</v>
      </c>
      <c r="C273" s="5" t="s">
        <v>270</v>
      </c>
      <c r="D273" s="3" t="s">
        <v>14</v>
      </c>
      <c r="E273" s="3" t="s">
        <v>155</v>
      </c>
      <c r="F273" s="3" t="s">
        <v>16</v>
      </c>
      <c r="G273" s="3" t="s">
        <v>145</v>
      </c>
      <c r="H273" s="4">
        <v>35.2</v>
      </c>
      <c r="I273" s="4">
        <v>15.9</v>
      </c>
      <c r="J273" s="4">
        <v>186.0</v>
      </c>
      <c r="K273" s="4">
        <v>3050.0</v>
      </c>
      <c r="L273" s="3" t="s">
        <v>20</v>
      </c>
    </row>
    <row r="274" ht="22.5" hidden="1" customHeight="1">
      <c r="A274" s="3" t="s">
        <v>124</v>
      </c>
      <c r="B274" s="4">
        <v>126.0</v>
      </c>
      <c r="C274" s="5" t="s">
        <v>270</v>
      </c>
      <c r="D274" s="3" t="s">
        <v>14</v>
      </c>
      <c r="E274" s="3" t="s">
        <v>156</v>
      </c>
      <c r="F274" s="3" t="s">
        <v>16</v>
      </c>
      <c r="G274" s="3" t="s">
        <v>145</v>
      </c>
      <c r="H274" s="4">
        <v>40.6</v>
      </c>
      <c r="I274" s="4">
        <v>19.0</v>
      </c>
      <c r="J274" s="4">
        <v>199.0</v>
      </c>
      <c r="K274" s="4">
        <v>4000.0</v>
      </c>
      <c r="L274" s="3" t="s">
        <v>18</v>
      </c>
    </row>
    <row r="275" ht="22.5" hidden="1" customHeight="1">
      <c r="A275" s="3" t="s">
        <v>124</v>
      </c>
      <c r="B275" s="4">
        <v>129.0</v>
      </c>
      <c r="C275" s="5" t="s">
        <v>270</v>
      </c>
      <c r="D275" s="3" t="s">
        <v>14</v>
      </c>
      <c r="E275" s="3" t="s">
        <v>160</v>
      </c>
      <c r="F275" s="3" t="s">
        <v>16</v>
      </c>
      <c r="G275" s="3" t="s">
        <v>145</v>
      </c>
      <c r="H275" s="4">
        <v>39.0</v>
      </c>
      <c r="I275" s="4">
        <v>17.1</v>
      </c>
      <c r="J275" s="4">
        <v>191.0</v>
      </c>
      <c r="K275" s="4">
        <v>3050.0</v>
      </c>
      <c r="L275" s="3" t="s">
        <v>20</v>
      </c>
    </row>
    <row r="276" ht="22.5" hidden="1" customHeight="1">
      <c r="A276" s="3" t="s">
        <v>124</v>
      </c>
      <c r="B276" s="4">
        <v>130.0</v>
      </c>
      <c r="C276" s="5" t="s">
        <v>270</v>
      </c>
      <c r="D276" s="3" t="s">
        <v>14</v>
      </c>
      <c r="E276" s="3" t="s">
        <v>161</v>
      </c>
      <c r="F276" s="3" t="s">
        <v>16</v>
      </c>
      <c r="G276" s="3" t="s">
        <v>145</v>
      </c>
      <c r="H276" s="4">
        <v>44.1</v>
      </c>
      <c r="I276" s="4">
        <v>18.0</v>
      </c>
      <c r="J276" s="4">
        <v>210.0</v>
      </c>
      <c r="K276" s="4">
        <v>4000.0</v>
      </c>
      <c r="L276" s="3" t="s">
        <v>18</v>
      </c>
    </row>
    <row r="277" ht="22.5" hidden="1" customHeight="1">
      <c r="A277" s="3" t="s">
        <v>124</v>
      </c>
      <c r="B277" s="4">
        <v>81.0</v>
      </c>
      <c r="C277" s="5" t="s">
        <v>271</v>
      </c>
      <c r="D277" s="3" t="s">
        <v>44</v>
      </c>
      <c r="E277" s="3" t="s">
        <v>15</v>
      </c>
      <c r="F277" s="3" t="s">
        <v>16</v>
      </c>
      <c r="G277" s="3" t="s">
        <v>145</v>
      </c>
      <c r="H277" s="4">
        <v>49.1</v>
      </c>
      <c r="I277" s="4">
        <v>14.5</v>
      </c>
      <c r="J277" s="4">
        <v>212.0</v>
      </c>
      <c r="K277" s="4">
        <v>4625.0</v>
      </c>
      <c r="L277" s="3" t="s">
        <v>20</v>
      </c>
    </row>
    <row r="278" ht="22.5" hidden="1" customHeight="1">
      <c r="A278" s="3" t="s">
        <v>124</v>
      </c>
      <c r="B278" s="4">
        <v>82.0</v>
      </c>
      <c r="C278" s="5" t="s">
        <v>271</v>
      </c>
      <c r="D278" s="3" t="s">
        <v>44</v>
      </c>
      <c r="E278" s="3" t="s">
        <v>19</v>
      </c>
      <c r="F278" s="3" t="s">
        <v>16</v>
      </c>
      <c r="G278" s="3" t="s">
        <v>145</v>
      </c>
      <c r="H278" s="4">
        <v>52.5</v>
      </c>
      <c r="I278" s="4">
        <v>15.6</v>
      </c>
      <c r="J278" s="4">
        <v>221.0</v>
      </c>
      <c r="K278" s="4">
        <v>5450.0</v>
      </c>
      <c r="L278" s="3" t="s">
        <v>18</v>
      </c>
    </row>
    <row r="279" ht="22.5" hidden="1" customHeight="1">
      <c r="A279" s="3" t="s">
        <v>124</v>
      </c>
      <c r="B279" s="4">
        <v>97.0</v>
      </c>
      <c r="C279" s="5" t="s">
        <v>271</v>
      </c>
      <c r="D279" s="3" t="s">
        <v>44</v>
      </c>
      <c r="E279" s="3" t="s">
        <v>210</v>
      </c>
      <c r="F279" s="3" t="s">
        <v>16</v>
      </c>
      <c r="G279" s="3" t="s">
        <v>145</v>
      </c>
      <c r="H279" s="4">
        <v>49.4</v>
      </c>
      <c r="I279" s="4">
        <v>15.8</v>
      </c>
      <c r="J279" s="4">
        <v>216.0</v>
      </c>
      <c r="K279" s="4">
        <v>4925.0</v>
      </c>
      <c r="L279" s="3" t="s">
        <v>18</v>
      </c>
    </row>
    <row r="280" ht="22.5" hidden="1" customHeight="1">
      <c r="A280" s="3" t="s">
        <v>124</v>
      </c>
      <c r="B280" s="4">
        <v>98.0</v>
      </c>
      <c r="C280" s="5" t="s">
        <v>271</v>
      </c>
      <c r="D280" s="3" t="s">
        <v>44</v>
      </c>
      <c r="E280" s="3" t="s">
        <v>211</v>
      </c>
      <c r="F280" s="3" t="s">
        <v>16</v>
      </c>
      <c r="G280" s="3" t="s">
        <v>145</v>
      </c>
      <c r="H280" s="4">
        <v>46.9</v>
      </c>
      <c r="I280" s="4">
        <v>14.6</v>
      </c>
      <c r="J280" s="4">
        <v>222.0</v>
      </c>
      <c r="K280" s="4">
        <v>4875.0</v>
      </c>
      <c r="L280" s="3" t="s">
        <v>20</v>
      </c>
    </row>
    <row r="281" ht="22.5" hidden="1" customHeight="1">
      <c r="A281" s="3" t="s">
        <v>124</v>
      </c>
      <c r="B281" s="4">
        <v>99.0</v>
      </c>
      <c r="C281" s="5" t="s">
        <v>271</v>
      </c>
      <c r="D281" s="3" t="s">
        <v>44</v>
      </c>
      <c r="E281" s="3" t="s">
        <v>57</v>
      </c>
      <c r="F281" s="3" t="s">
        <v>16</v>
      </c>
      <c r="G281" s="3" t="s">
        <v>145</v>
      </c>
      <c r="H281" s="4">
        <v>48.4</v>
      </c>
      <c r="I281" s="4">
        <v>14.4</v>
      </c>
      <c r="J281" s="4">
        <v>203.0</v>
      </c>
      <c r="K281" s="4">
        <v>4625.0</v>
      </c>
      <c r="L281" s="3" t="s">
        <v>20</v>
      </c>
    </row>
    <row r="282" ht="22.5" hidden="1" customHeight="1">
      <c r="A282" s="3" t="s">
        <v>124</v>
      </c>
      <c r="B282" s="4">
        <v>100.0</v>
      </c>
      <c r="C282" s="5" t="s">
        <v>271</v>
      </c>
      <c r="D282" s="3" t="s">
        <v>44</v>
      </c>
      <c r="E282" s="3" t="s">
        <v>58</v>
      </c>
      <c r="F282" s="3" t="s">
        <v>16</v>
      </c>
      <c r="G282" s="3" t="s">
        <v>145</v>
      </c>
      <c r="H282" s="4">
        <v>51.1</v>
      </c>
      <c r="I282" s="4">
        <v>16.5</v>
      </c>
      <c r="J282" s="4">
        <v>225.0</v>
      </c>
      <c r="K282" s="4">
        <v>5250.0</v>
      </c>
      <c r="L282" s="3" t="s">
        <v>18</v>
      </c>
    </row>
    <row r="283" ht="22.5" hidden="1" customHeight="1">
      <c r="A283" s="3" t="s">
        <v>124</v>
      </c>
      <c r="B283" s="4">
        <v>103.0</v>
      </c>
      <c r="C283" s="5" t="s">
        <v>271</v>
      </c>
      <c r="D283" s="3" t="s">
        <v>44</v>
      </c>
      <c r="E283" s="3" t="s">
        <v>61</v>
      </c>
      <c r="F283" s="3" t="s">
        <v>16</v>
      </c>
      <c r="G283" s="3" t="s">
        <v>145</v>
      </c>
      <c r="H283" s="4">
        <v>47.2</v>
      </c>
      <c r="I283" s="4">
        <v>15.5</v>
      </c>
      <c r="J283" s="4">
        <v>215.0</v>
      </c>
      <c r="K283" s="4">
        <v>4975.0</v>
      </c>
      <c r="L283" s="3" t="s">
        <v>20</v>
      </c>
    </row>
    <row r="284" ht="22.5" hidden="1" customHeight="1">
      <c r="A284" s="3" t="s">
        <v>124</v>
      </c>
      <c r="B284" s="4">
        <v>104.0</v>
      </c>
      <c r="C284" s="5" t="s">
        <v>271</v>
      </c>
      <c r="D284" s="3" t="s">
        <v>44</v>
      </c>
      <c r="E284" s="3" t="s">
        <v>62</v>
      </c>
      <c r="F284" s="3" t="s">
        <v>16</v>
      </c>
      <c r="G284" s="3" t="s">
        <v>145</v>
      </c>
      <c r="H284" s="4">
        <v>49.1</v>
      </c>
      <c r="I284" s="4">
        <v>15.0</v>
      </c>
      <c r="J284" s="4">
        <v>228.0</v>
      </c>
      <c r="K284" s="4">
        <v>5500.0</v>
      </c>
      <c r="L284" s="3" t="s">
        <v>18</v>
      </c>
    </row>
    <row r="285" ht="22.5" hidden="1" customHeight="1">
      <c r="A285" s="3" t="s">
        <v>124</v>
      </c>
      <c r="B285" s="4">
        <v>63.0</v>
      </c>
      <c r="C285" s="5" t="s">
        <v>272</v>
      </c>
      <c r="D285" s="3" t="s">
        <v>56</v>
      </c>
      <c r="E285" s="3" t="s">
        <v>259</v>
      </c>
      <c r="F285" s="3" t="s">
        <v>16</v>
      </c>
      <c r="G285" s="3" t="s">
        <v>260</v>
      </c>
      <c r="H285" s="4">
        <v>45.7</v>
      </c>
      <c r="I285" s="4">
        <v>17.0</v>
      </c>
      <c r="J285" s="4">
        <v>195.0</v>
      </c>
      <c r="K285" s="4">
        <v>3650.0</v>
      </c>
      <c r="L285" s="3" t="s">
        <v>20</v>
      </c>
    </row>
    <row r="286" ht="22.5" hidden="1" customHeight="1">
      <c r="A286" s="3" t="s">
        <v>124</v>
      </c>
      <c r="B286" s="4">
        <v>64.0</v>
      </c>
      <c r="C286" s="5" t="s">
        <v>272</v>
      </c>
      <c r="D286" s="3" t="s">
        <v>56</v>
      </c>
      <c r="E286" s="3" t="s">
        <v>261</v>
      </c>
      <c r="F286" s="3" t="s">
        <v>16</v>
      </c>
      <c r="G286" s="3" t="s">
        <v>260</v>
      </c>
      <c r="H286" s="4">
        <v>55.8</v>
      </c>
      <c r="I286" s="4">
        <v>19.8</v>
      </c>
      <c r="J286" s="4">
        <v>207.0</v>
      </c>
      <c r="K286" s="4">
        <v>4000.0</v>
      </c>
      <c r="L286" s="3" t="s">
        <v>18</v>
      </c>
    </row>
    <row r="287" ht="22.5" hidden="1" customHeight="1">
      <c r="A287" s="3" t="s">
        <v>124</v>
      </c>
      <c r="B287" s="4">
        <v>109.0</v>
      </c>
      <c r="C287" s="5" t="s">
        <v>270</v>
      </c>
      <c r="D287" s="3" t="s">
        <v>44</v>
      </c>
      <c r="E287" s="3" t="s">
        <v>133</v>
      </c>
      <c r="F287" s="3" t="s">
        <v>16</v>
      </c>
      <c r="G287" s="3" t="s">
        <v>134</v>
      </c>
      <c r="H287" s="4">
        <v>38.1</v>
      </c>
      <c r="I287" s="4">
        <v>17.0</v>
      </c>
      <c r="J287" s="4">
        <v>181.0</v>
      </c>
      <c r="K287" s="4">
        <v>3175.0</v>
      </c>
      <c r="L287" s="3" t="s">
        <v>20</v>
      </c>
    </row>
    <row r="288" ht="22.5" hidden="1" customHeight="1">
      <c r="A288" s="3" t="s">
        <v>124</v>
      </c>
      <c r="B288" s="4">
        <v>110.0</v>
      </c>
      <c r="C288" s="5" t="s">
        <v>270</v>
      </c>
      <c r="D288" s="3" t="s">
        <v>44</v>
      </c>
      <c r="E288" s="3" t="s">
        <v>135</v>
      </c>
      <c r="F288" s="3" t="s">
        <v>16</v>
      </c>
      <c r="G288" s="3" t="s">
        <v>134</v>
      </c>
      <c r="H288" s="4">
        <v>43.2</v>
      </c>
      <c r="I288" s="4">
        <v>19.0</v>
      </c>
      <c r="J288" s="4">
        <v>197.0</v>
      </c>
      <c r="K288" s="4">
        <v>4775.0</v>
      </c>
      <c r="L288" s="3" t="s">
        <v>18</v>
      </c>
    </row>
    <row r="289" ht="22.5" hidden="1" customHeight="1">
      <c r="A289" s="3" t="s">
        <v>124</v>
      </c>
      <c r="B289" s="4">
        <v>87.0</v>
      </c>
      <c r="C289" s="5" t="s">
        <v>271</v>
      </c>
      <c r="D289" s="3" t="s">
        <v>44</v>
      </c>
      <c r="E289" s="3" t="s">
        <v>49</v>
      </c>
      <c r="F289" s="3" t="s">
        <v>16</v>
      </c>
      <c r="G289" s="3" t="s">
        <v>134</v>
      </c>
      <c r="H289" s="4">
        <v>43.4</v>
      </c>
      <c r="I289" s="4">
        <v>14.4</v>
      </c>
      <c r="J289" s="4">
        <v>218.0</v>
      </c>
      <c r="K289" s="4">
        <v>4600.0</v>
      </c>
      <c r="L289" s="3" t="s">
        <v>20</v>
      </c>
    </row>
    <row r="290" ht="22.5" hidden="1" customHeight="1">
      <c r="A290" s="3" t="s">
        <v>124</v>
      </c>
      <c r="B290" s="4">
        <v>88.0</v>
      </c>
      <c r="C290" s="5" t="s">
        <v>271</v>
      </c>
      <c r="D290" s="3" t="s">
        <v>44</v>
      </c>
      <c r="E290" s="3" t="s">
        <v>51</v>
      </c>
      <c r="F290" s="3" t="s">
        <v>16</v>
      </c>
      <c r="G290" s="3" t="s">
        <v>134</v>
      </c>
      <c r="H290" s="4">
        <v>51.3</v>
      </c>
      <c r="I290" s="4">
        <v>14.2</v>
      </c>
      <c r="J290" s="4">
        <v>218.0</v>
      </c>
      <c r="K290" s="4">
        <v>5300.0</v>
      </c>
      <c r="L290" s="3" t="s">
        <v>18</v>
      </c>
    </row>
    <row r="291" ht="22.5" hidden="1" customHeight="1">
      <c r="A291" s="3" t="s">
        <v>124</v>
      </c>
      <c r="B291" s="4">
        <v>111.0</v>
      </c>
      <c r="C291" s="5" t="s">
        <v>271</v>
      </c>
      <c r="D291" s="3" t="s">
        <v>44</v>
      </c>
      <c r="E291" s="3" t="s">
        <v>84</v>
      </c>
      <c r="F291" s="3" t="s">
        <v>16</v>
      </c>
      <c r="G291" s="3" t="s">
        <v>134</v>
      </c>
      <c r="H291" s="4">
        <v>50.5</v>
      </c>
      <c r="I291" s="4">
        <v>15.2</v>
      </c>
      <c r="J291" s="4">
        <v>216.0</v>
      </c>
      <c r="K291" s="4">
        <v>5000.0</v>
      </c>
      <c r="L291" s="3" t="s">
        <v>20</v>
      </c>
    </row>
    <row r="292" ht="22.5" hidden="1" customHeight="1">
      <c r="A292" s="3" t="s">
        <v>124</v>
      </c>
      <c r="B292" s="4">
        <v>112.0</v>
      </c>
      <c r="C292" s="5" t="s">
        <v>271</v>
      </c>
      <c r="D292" s="3" t="s">
        <v>44</v>
      </c>
      <c r="E292" s="3" t="s">
        <v>86</v>
      </c>
      <c r="F292" s="3" t="s">
        <v>16</v>
      </c>
      <c r="G292" s="3" t="s">
        <v>134</v>
      </c>
      <c r="H292" s="4">
        <v>49.8</v>
      </c>
      <c r="I292" s="4">
        <v>15.9</v>
      </c>
      <c r="J292" s="4">
        <v>229.0</v>
      </c>
      <c r="K292" s="4">
        <v>5950.0</v>
      </c>
      <c r="L292" s="3" t="s">
        <v>18</v>
      </c>
    </row>
    <row r="293" ht="22.5" hidden="1" customHeight="1">
      <c r="A293" s="3" t="s">
        <v>124</v>
      </c>
      <c r="B293" s="4">
        <v>127.0</v>
      </c>
      <c r="C293" s="5" t="s">
        <v>270</v>
      </c>
      <c r="D293" s="3" t="s">
        <v>14</v>
      </c>
      <c r="E293" s="3" t="s">
        <v>157</v>
      </c>
      <c r="F293" s="3" t="s">
        <v>16</v>
      </c>
      <c r="G293" s="3" t="s">
        <v>158</v>
      </c>
      <c r="H293" s="4">
        <v>38.8</v>
      </c>
      <c r="I293" s="4">
        <v>17.6</v>
      </c>
      <c r="J293" s="4">
        <v>191.0</v>
      </c>
      <c r="K293" s="4">
        <v>3275.0</v>
      </c>
      <c r="L293" s="3" t="s">
        <v>20</v>
      </c>
    </row>
    <row r="294" ht="22.5" hidden="1" customHeight="1">
      <c r="A294" s="3" t="s">
        <v>124</v>
      </c>
      <c r="B294" s="4">
        <v>128.0</v>
      </c>
      <c r="C294" s="5" t="s">
        <v>270</v>
      </c>
      <c r="D294" s="3" t="s">
        <v>14</v>
      </c>
      <c r="E294" s="3" t="s">
        <v>159</v>
      </c>
      <c r="F294" s="3" t="s">
        <v>16</v>
      </c>
      <c r="G294" s="3" t="s">
        <v>158</v>
      </c>
      <c r="H294" s="4">
        <v>41.5</v>
      </c>
      <c r="I294" s="4">
        <v>18.3</v>
      </c>
      <c r="J294" s="4">
        <v>195.0</v>
      </c>
      <c r="K294" s="4">
        <v>4300.0</v>
      </c>
      <c r="L294" s="3" t="s">
        <v>18</v>
      </c>
    </row>
    <row r="295" ht="22.5" hidden="1" customHeight="1">
      <c r="A295" s="3" t="s">
        <v>124</v>
      </c>
      <c r="B295" s="4">
        <v>51.0</v>
      </c>
      <c r="C295" s="5" t="s">
        <v>272</v>
      </c>
      <c r="D295" s="3" t="s">
        <v>56</v>
      </c>
      <c r="E295" s="3" t="s">
        <v>247</v>
      </c>
      <c r="F295" s="3" t="s">
        <v>16</v>
      </c>
      <c r="G295" s="3" t="s">
        <v>158</v>
      </c>
      <c r="H295" s="4">
        <v>48.1</v>
      </c>
      <c r="I295" s="4">
        <v>16.4</v>
      </c>
      <c r="J295" s="4">
        <v>199.0</v>
      </c>
      <c r="K295" s="4">
        <v>3325.0</v>
      </c>
      <c r="L295" s="3" t="s">
        <v>20</v>
      </c>
    </row>
    <row r="296" ht="22.5" hidden="1" customHeight="1">
      <c r="A296" s="3" t="s">
        <v>124</v>
      </c>
      <c r="B296" s="4">
        <v>52.0</v>
      </c>
      <c r="C296" s="5" t="s">
        <v>272</v>
      </c>
      <c r="D296" s="3" t="s">
        <v>56</v>
      </c>
      <c r="E296" s="3" t="s">
        <v>248</v>
      </c>
      <c r="F296" s="3" t="s">
        <v>16</v>
      </c>
      <c r="G296" s="3" t="s">
        <v>158</v>
      </c>
      <c r="H296" s="4">
        <v>51.4</v>
      </c>
      <c r="I296" s="4">
        <v>19.0</v>
      </c>
      <c r="J296" s="4">
        <v>201.0</v>
      </c>
      <c r="K296" s="4">
        <v>3950.0</v>
      </c>
      <c r="L296" s="3" t="s">
        <v>18</v>
      </c>
    </row>
    <row r="297" ht="22.5" hidden="1" customHeight="1">
      <c r="A297" s="3" t="s">
        <v>124</v>
      </c>
      <c r="B297" s="4">
        <v>57.0</v>
      </c>
      <c r="C297" s="5" t="s">
        <v>272</v>
      </c>
      <c r="D297" s="3" t="s">
        <v>56</v>
      </c>
      <c r="E297" s="3" t="s">
        <v>253</v>
      </c>
      <c r="F297" s="3" t="s">
        <v>16</v>
      </c>
      <c r="G297" s="3" t="s">
        <v>158</v>
      </c>
      <c r="H297" s="4">
        <v>45.2</v>
      </c>
      <c r="I297" s="4">
        <v>16.6</v>
      </c>
      <c r="J297" s="4">
        <v>191.0</v>
      </c>
      <c r="K297" s="4">
        <v>3250.0</v>
      </c>
      <c r="L297" s="3" t="s">
        <v>20</v>
      </c>
    </row>
    <row r="298" ht="22.5" hidden="1" customHeight="1">
      <c r="A298" s="3" t="s">
        <v>124</v>
      </c>
      <c r="B298" s="4">
        <v>58.0</v>
      </c>
      <c r="C298" s="5" t="s">
        <v>272</v>
      </c>
      <c r="D298" s="3" t="s">
        <v>56</v>
      </c>
      <c r="E298" s="3" t="s">
        <v>254</v>
      </c>
      <c r="F298" s="3" t="s">
        <v>16</v>
      </c>
      <c r="G298" s="3" t="s">
        <v>158</v>
      </c>
      <c r="H298" s="4">
        <v>49.3</v>
      </c>
      <c r="I298" s="4">
        <v>19.9</v>
      </c>
      <c r="J298" s="4">
        <v>203.0</v>
      </c>
      <c r="K298" s="4">
        <v>4050.0</v>
      </c>
      <c r="L298" s="3" t="s">
        <v>18</v>
      </c>
    </row>
    <row r="299" ht="22.5" hidden="1" customHeight="1">
      <c r="A299" s="3" t="s">
        <v>124</v>
      </c>
      <c r="B299" s="4">
        <v>59.0</v>
      </c>
      <c r="C299" s="5" t="s">
        <v>272</v>
      </c>
      <c r="D299" s="3" t="s">
        <v>56</v>
      </c>
      <c r="E299" s="3" t="s">
        <v>255</v>
      </c>
      <c r="F299" s="3" t="s">
        <v>16</v>
      </c>
      <c r="G299" s="3" t="s">
        <v>158</v>
      </c>
      <c r="H299" s="4">
        <v>50.2</v>
      </c>
      <c r="I299" s="4">
        <v>18.8</v>
      </c>
      <c r="J299" s="4">
        <v>202.0</v>
      </c>
      <c r="K299" s="4">
        <v>3800.0</v>
      </c>
      <c r="L299" s="3" t="s">
        <v>18</v>
      </c>
    </row>
    <row r="300" ht="22.5" hidden="1" customHeight="1">
      <c r="A300" s="3" t="s">
        <v>124</v>
      </c>
      <c r="B300" s="4">
        <v>60.0</v>
      </c>
      <c r="C300" s="5" t="s">
        <v>272</v>
      </c>
      <c r="D300" s="3" t="s">
        <v>56</v>
      </c>
      <c r="E300" s="3" t="s">
        <v>256</v>
      </c>
      <c r="F300" s="3" t="s">
        <v>16</v>
      </c>
      <c r="G300" s="3" t="s">
        <v>158</v>
      </c>
      <c r="H300" s="4">
        <v>45.6</v>
      </c>
      <c r="I300" s="4">
        <v>19.4</v>
      </c>
      <c r="J300" s="4">
        <v>194.0</v>
      </c>
      <c r="K300" s="4">
        <v>3525.0</v>
      </c>
      <c r="L300" s="3" t="s">
        <v>20</v>
      </c>
    </row>
    <row r="301" ht="22.5" hidden="1" customHeight="1">
      <c r="A301" s="3" t="s">
        <v>124</v>
      </c>
      <c r="B301" s="4">
        <v>65.0</v>
      </c>
      <c r="C301" s="5" t="s">
        <v>272</v>
      </c>
      <c r="D301" s="3" t="s">
        <v>56</v>
      </c>
      <c r="E301" s="3" t="s">
        <v>262</v>
      </c>
      <c r="F301" s="3" t="s">
        <v>26</v>
      </c>
      <c r="G301" s="3" t="s">
        <v>158</v>
      </c>
      <c r="H301" s="4">
        <v>43.5</v>
      </c>
      <c r="I301" s="4">
        <v>18.1</v>
      </c>
      <c r="J301" s="4">
        <v>202.0</v>
      </c>
      <c r="K301" s="4">
        <v>3400.0</v>
      </c>
      <c r="L301" s="3" t="s">
        <v>20</v>
      </c>
    </row>
    <row r="302" ht="22.5" hidden="1" customHeight="1">
      <c r="A302" s="3" t="s">
        <v>124</v>
      </c>
      <c r="B302" s="4">
        <v>66.0</v>
      </c>
      <c r="C302" s="5" t="s">
        <v>272</v>
      </c>
      <c r="D302" s="3" t="s">
        <v>56</v>
      </c>
      <c r="E302" s="3" t="s">
        <v>263</v>
      </c>
      <c r="F302" s="3" t="s">
        <v>26</v>
      </c>
      <c r="G302" s="3" t="s">
        <v>158</v>
      </c>
      <c r="H302" s="4">
        <v>49.6</v>
      </c>
      <c r="I302" s="4">
        <v>18.2</v>
      </c>
      <c r="J302" s="4">
        <v>193.0</v>
      </c>
      <c r="K302" s="4">
        <v>3775.0</v>
      </c>
      <c r="L302" s="3" t="s">
        <v>18</v>
      </c>
    </row>
    <row r="303" ht="22.5" hidden="1" customHeight="1">
      <c r="A303" s="3" t="s">
        <v>124</v>
      </c>
      <c r="B303" s="4">
        <v>67.0</v>
      </c>
      <c r="C303" s="5" t="s">
        <v>272</v>
      </c>
      <c r="D303" s="3" t="s">
        <v>56</v>
      </c>
      <c r="E303" s="3" t="s">
        <v>264</v>
      </c>
      <c r="F303" s="3" t="s">
        <v>16</v>
      </c>
      <c r="G303" s="3" t="s">
        <v>158</v>
      </c>
      <c r="H303" s="4">
        <v>50.8</v>
      </c>
      <c r="I303" s="4">
        <v>19.0</v>
      </c>
      <c r="J303" s="4">
        <v>210.0</v>
      </c>
      <c r="K303" s="4">
        <v>4100.0</v>
      </c>
      <c r="L303" s="3" t="s">
        <v>18</v>
      </c>
    </row>
    <row r="304" ht="22.5" hidden="1" customHeight="1">
      <c r="A304" s="3" t="s">
        <v>124</v>
      </c>
      <c r="B304" s="4">
        <v>68.0</v>
      </c>
      <c r="C304" s="5" t="s">
        <v>272</v>
      </c>
      <c r="D304" s="3" t="s">
        <v>56</v>
      </c>
      <c r="E304" s="3" t="s">
        <v>265</v>
      </c>
      <c r="F304" s="3" t="s">
        <v>16</v>
      </c>
      <c r="G304" s="3" t="s">
        <v>158</v>
      </c>
      <c r="H304" s="4">
        <v>50.2</v>
      </c>
      <c r="I304" s="4">
        <v>18.7</v>
      </c>
      <c r="J304" s="4">
        <v>198.0</v>
      </c>
      <c r="K304" s="4">
        <v>3775.0</v>
      </c>
      <c r="L304" s="3" t="s">
        <v>20</v>
      </c>
    </row>
    <row r="305" ht="22.5" hidden="1" customHeight="1">
      <c r="A305" s="3" t="s">
        <v>124</v>
      </c>
      <c r="B305" s="4">
        <v>119.0</v>
      </c>
      <c r="C305" s="5" t="s">
        <v>270</v>
      </c>
      <c r="D305" s="3" t="s">
        <v>14</v>
      </c>
      <c r="E305" s="3" t="s">
        <v>147</v>
      </c>
      <c r="F305" s="3" t="s">
        <v>16</v>
      </c>
      <c r="G305" s="3" t="s">
        <v>148</v>
      </c>
      <c r="H305" s="4">
        <v>35.7</v>
      </c>
      <c r="I305" s="4">
        <v>17.0</v>
      </c>
      <c r="J305" s="4">
        <v>189.0</v>
      </c>
      <c r="K305" s="4">
        <v>3350.0</v>
      </c>
      <c r="L305" s="3" t="s">
        <v>20</v>
      </c>
    </row>
    <row r="306" ht="22.5" hidden="1" customHeight="1">
      <c r="A306" s="3" t="s">
        <v>124</v>
      </c>
      <c r="B306" s="4">
        <v>120.0</v>
      </c>
      <c r="C306" s="5" t="s">
        <v>270</v>
      </c>
      <c r="D306" s="3" t="s">
        <v>14</v>
      </c>
      <c r="E306" s="3" t="s">
        <v>149</v>
      </c>
      <c r="F306" s="3" t="s">
        <v>16</v>
      </c>
      <c r="G306" s="3" t="s">
        <v>148</v>
      </c>
      <c r="H306" s="4">
        <v>41.1</v>
      </c>
      <c r="I306" s="4">
        <v>18.6</v>
      </c>
      <c r="J306" s="4">
        <v>189.0</v>
      </c>
      <c r="K306" s="4">
        <v>3325.0</v>
      </c>
      <c r="L306" s="3" t="s">
        <v>18</v>
      </c>
    </row>
    <row r="307" ht="22.5" hidden="1" customHeight="1">
      <c r="A307" s="3" t="s">
        <v>124</v>
      </c>
      <c r="B307" s="4">
        <v>85.0</v>
      </c>
      <c r="C307" s="5" t="s">
        <v>271</v>
      </c>
      <c r="D307" s="3" t="s">
        <v>44</v>
      </c>
      <c r="E307" s="3" t="s">
        <v>37</v>
      </c>
      <c r="F307" s="3" t="s">
        <v>16</v>
      </c>
      <c r="G307" s="3" t="s">
        <v>148</v>
      </c>
      <c r="H307" s="4">
        <v>44.9</v>
      </c>
      <c r="I307" s="4">
        <v>13.8</v>
      </c>
      <c r="J307" s="4">
        <v>212.0</v>
      </c>
      <c r="K307" s="4">
        <v>4750.0</v>
      </c>
      <c r="L307" s="3" t="s">
        <v>20</v>
      </c>
    </row>
    <row r="308" ht="22.5" hidden="1" customHeight="1">
      <c r="A308" s="3" t="s">
        <v>124</v>
      </c>
      <c r="B308" s="4">
        <v>86.0</v>
      </c>
      <c r="C308" s="5" t="s">
        <v>271</v>
      </c>
      <c r="D308" s="3" t="s">
        <v>44</v>
      </c>
      <c r="E308" s="3" t="s">
        <v>38</v>
      </c>
      <c r="F308" s="3" t="s">
        <v>16</v>
      </c>
      <c r="G308" s="3" t="s">
        <v>148</v>
      </c>
      <c r="H308" s="4">
        <v>50.8</v>
      </c>
      <c r="I308" s="4">
        <v>17.3</v>
      </c>
      <c r="J308" s="4">
        <v>228.0</v>
      </c>
      <c r="K308" s="4">
        <v>5600.0</v>
      </c>
      <c r="L308" s="3" t="s">
        <v>18</v>
      </c>
    </row>
    <row r="309" ht="22.5" hidden="1" customHeight="1">
      <c r="A309" s="3" t="s">
        <v>124</v>
      </c>
      <c r="B309" s="4">
        <v>101.0</v>
      </c>
      <c r="C309" s="5" t="s">
        <v>271</v>
      </c>
      <c r="D309" s="3" t="s">
        <v>44</v>
      </c>
      <c r="E309" s="3" t="s">
        <v>59</v>
      </c>
      <c r="F309" s="3" t="s">
        <v>16</v>
      </c>
      <c r="G309" s="3" t="s">
        <v>148</v>
      </c>
      <c r="H309" s="4">
        <v>48.5</v>
      </c>
      <c r="I309" s="4">
        <v>15.0</v>
      </c>
      <c r="J309" s="4">
        <v>219.0</v>
      </c>
      <c r="K309" s="4">
        <v>4850.0</v>
      </c>
      <c r="L309" s="3" t="s">
        <v>20</v>
      </c>
    </row>
    <row r="310" ht="22.5" hidden="1" customHeight="1">
      <c r="A310" s="3" t="s">
        <v>124</v>
      </c>
      <c r="B310" s="4">
        <v>102.0</v>
      </c>
      <c r="C310" s="5" t="s">
        <v>271</v>
      </c>
      <c r="D310" s="3" t="s">
        <v>44</v>
      </c>
      <c r="E310" s="3" t="s">
        <v>60</v>
      </c>
      <c r="F310" s="3" t="s">
        <v>16</v>
      </c>
      <c r="G310" s="3" t="s">
        <v>148</v>
      </c>
      <c r="H310" s="4">
        <v>55.9</v>
      </c>
      <c r="I310" s="4">
        <v>17.0</v>
      </c>
      <c r="J310" s="4">
        <v>228.0</v>
      </c>
      <c r="K310" s="4">
        <v>5600.0</v>
      </c>
      <c r="L310" s="3" t="s">
        <v>18</v>
      </c>
    </row>
    <row r="311" ht="22.5" hidden="1" customHeight="1">
      <c r="A311" s="3" t="s">
        <v>124</v>
      </c>
      <c r="B311" s="4">
        <v>121.0</v>
      </c>
      <c r="C311" s="5" t="s">
        <v>271</v>
      </c>
      <c r="D311" s="3" t="s">
        <v>44</v>
      </c>
      <c r="E311" s="3" t="s">
        <v>99</v>
      </c>
      <c r="F311" s="3" t="s">
        <v>16</v>
      </c>
      <c r="G311" s="3" t="s">
        <v>148</v>
      </c>
      <c r="H311" s="4">
        <v>46.8</v>
      </c>
      <c r="I311" s="4">
        <v>14.3</v>
      </c>
      <c r="J311" s="4">
        <v>215.0</v>
      </c>
      <c r="K311" s="4">
        <v>4850.0</v>
      </c>
      <c r="L311" s="3" t="s">
        <v>20</v>
      </c>
    </row>
    <row r="312" ht="22.5" hidden="1" customHeight="1">
      <c r="A312" s="3" t="s">
        <v>124</v>
      </c>
      <c r="B312" s="4">
        <v>122.0</v>
      </c>
      <c r="C312" s="5" t="s">
        <v>271</v>
      </c>
      <c r="D312" s="3" t="s">
        <v>44</v>
      </c>
      <c r="E312" s="3" t="s">
        <v>101</v>
      </c>
      <c r="F312" s="3" t="s">
        <v>16</v>
      </c>
      <c r="G312" s="3" t="s">
        <v>148</v>
      </c>
      <c r="H312" s="4">
        <v>50.4</v>
      </c>
      <c r="I312" s="4">
        <v>15.7</v>
      </c>
      <c r="J312" s="4">
        <v>222.0</v>
      </c>
      <c r="K312" s="4">
        <v>5750.0</v>
      </c>
      <c r="L312" s="3" t="s">
        <v>18</v>
      </c>
    </row>
    <row r="313" ht="22.5" hidden="1" customHeight="1">
      <c r="A313" s="3" t="s">
        <v>124</v>
      </c>
      <c r="B313" s="4">
        <v>123.0</v>
      </c>
      <c r="C313" s="5" t="s">
        <v>271</v>
      </c>
      <c r="D313" s="3" t="s">
        <v>44</v>
      </c>
      <c r="E313" s="3" t="s">
        <v>217</v>
      </c>
      <c r="F313" s="3" t="s">
        <v>16</v>
      </c>
      <c r="G313" s="3" t="s">
        <v>148</v>
      </c>
      <c r="H313" s="4">
        <v>45.2</v>
      </c>
      <c r="I313" s="4">
        <v>14.8</v>
      </c>
      <c r="J313" s="4">
        <v>212.0</v>
      </c>
      <c r="K313" s="4">
        <v>5200.0</v>
      </c>
      <c r="L313" s="3" t="s">
        <v>20</v>
      </c>
    </row>
    <row r="314" ht="22.5" hidden="1" customHeight="1">
      <c r="A314" s="3" t="s">
        <v>124</v>
      </c>
      <c r="B314" s="4">
        <v>124.0</v>
      </c>
      <c r="C314" s="5" t="s">
        <v>271</v>
      </c>
      <c r="D314" s="3" t="s">
        <v>44</v>
      </c>
      <c r="E314" s="3" t="s">
        <v>218</v>
      </c>
      <c r="F314" s="3" t="s">
        <v>16</v>
      </c>
      <c r="G314" s="3" t="s">
        <v>148</v>
      </c>
      <c r="H314" s="4">
        <v>49.9</v>
      </c>
      <c r="I314" s="4">
        <v>16.1</v>
      </c>
      <c r="J314" s="4">
        <v>213.0</v>
      </c>
      <c r="K314" s="4">
        <v>5400.0</v>
      </c>
      <c r="L314" s="3" t="s">
        <v>18</v>
      </c>
    </row>
    <row r="315" ht="22.5" hidden="1" customHeight="1">
      <c r="A315" s="3" t="s">
        <v>124</v>
      </c>
      <c r="B315" s="4">
        <v>131.0</v>
      </c>
      <c r="C315" s="5" t="s">
        <v>270</v>
      </c>
      <c r="D315" s="3" t="s">
        <v>14</v>
      </c>
      <c r="E315" s="3" t="s">
        <v>162</v>
      </c>
      <c r="F315" s="3" t="s">
        <v>26</v>
      </c>
      <c r="G315" s="3" t="s">
        <v>163</v>
      </c>
      <c r="H315" s="4">
        <v>38.5</v>
      </c>
      <c r="I315" s="4">
        <v>17.9</v>
      </c>
      <c r="J315" s="4">
        <v>190.0</v>
      </c>
      <c r="K315" s="4">
        <v>3325.0</v>
      </c>
      <c r="L315" s="3" t="s">
        <v>20</v>
      </c>
    </row>
    <row r="316" ht="22.5" hidden="1" customHeight="1">
      <c r="A316" s="3" t="s">
        <v>124</v>
      </c>
      <c r="B316" s="4">
        <v>132.0</v>
      </c>
      <c r="C316" s="5" t="s">
        <v>270</v>
      </c>
      <c r="D316" s="3" t="s">
        <v>14</v>
      </c>
      <c r="E316" s="3" t="s">
        <v>164</v>
      </c>
      <c r="F316" s="3" t="s">
        <v>26</v>
      </c>
      <c r="G316" s="3" t="s">
        <v>163</v>
      </c>
      <c r="H316" s="4">
        <v>43.1</v>
      </c>
      <c r="I316" s="4">
        <v>19.2</v>
      </c>
      <c r="J316" s="4">
        <v>197.0</v>
      </c>
      <c r="K316" s="4">
        <v>3500.0</v>
      </c>
      <c r="L316" s="3" t="s">
        <v>18</v>
      </c>
    </row>
    <row r="317" ht="22.5" hidden="1" customHeight="1">
      <c r="A317" s="3" t="s">
        <v>124</v>
      </c>
      <c r="B317" s="4">
        <v>49.0</v>
      </c>
      <c r="C317" s="5" t="s">
        <v>272</v>
      </c>
      <c r="D317" s="3" t="s">
        <v>56</v>
      </c>
      <c r="E317" s="3" t="s">
        <v>245</v>
      </c>
      <c r="F317" s="3" t="s">
        <v>16</v>
      </c>
      <c r="G317" s="3" t="s">
        <v>163</v>
      </c>
      <c r="H317" s="4">
        <v>51.5</v>
      </c>
      <c r="I317" s="4">
        <v>18.7</v>
      </c>
      <c r="J317" s="4">
        <v>187.0</v>
      </c>
      <c r="K317" s="4">
        <v>3250.0</v>
      </c>
      <c r="L317" s="3" t="s">
        <v>18</v>
      </c>
    </row>
    <row r="318" ht="22.5" hidden="1" customHeight="1">
      <c r="A318" s="3" t="s">
        <v>124</v>
      </c>
      <c r="B318" s="4">
        <v>50.0</v>
      </c>
      <c r="C318" s="5" t="s">
        <v>272</v>
      </c>
      <c r="D318" s="3" t="s">
        <v>56</v>
      </c>
      <c r="E318" s="3" t="s">
        <v>246</v>
      </c>
      <c r="F318" s="3" t="s">
        <v>16</v>
      </c>
      <c r="G318" s="3" t="s">
        <v>163</v>
      </c>
      <c r="H318" s="4">
        <v>49.8</v>
      </c>
      <c r="I318" s="4">
        <v>17.3</v>
      </c>
      <c r="J318" s="4">
        <v>198.0</v>
      </c>
      <c r="K318" s="4">
        <v>3675.0</v>
      </c>
      <c r="L318" s="3" t="s">
        <v>20</v>
      </c>
    </row>
    <row r="319" ht="22.5" hidden="1" customHeight="1">
      <c r="A319" s="3" t="s">
        <v>124</v>
      </c>
      <c r="B319" s="4">
        <v>53.0</v>
      </c>
      <c r="C319" s="5" t="s">
        <v>272</v>
      </c>
      <c r="D319" s="3" t="s">
        <v>56</v>
      </c>
      <c r="E319" s="3" t="s">
        <v>249</v>
      </c>
      <c r="F319" s="3" t="s">
        <v>16</v>
      </c>
      <c r="G319" s="3" t="s">
        <v>163</v>
      </c>
      <c r="H319" s="4">
        <v>45.7</v>
      </c>
      <c r="I319" s="4">
        <v>17.3</v>
      </c>
      <c r="J319" s="4">
        <v>193.0</v>
      </c>
      <c r="K319" s="4">
        <v>3600.0</v>
      </c>
      <c r="L319" s="3" t="s">
        <v>20</v>
      </c>
    </row>
    <row r="320" ht="22.5" hidden="1" customHeight="1">
      <c r="A320" s="3" t="s">
        <v>124</v>
      </c>
      <c r="B320" s="4">
        <v>54.0</v>
      </c>
      <c r="C320" s="5" t="s">
        <v>272</v>
      </c>
      <c r="D320" s="3" t="s">
        <v>56</v>
      </c>
      <c r="E320" s="3" t="s">
        <v>250</v>
      </c>
      <c r="F320" s="3" t="s">
        <v>16</v>
      </c>
      <c r="G320" s="3" t="s">
        <v>163</v>
      </c>
      <c r="H320" s="4">
        <v>50.7</v>
      </c>
      <c r="I320" s="4">
        <v>19.7</v>
      </c>
      <c r="J320" s="4">
        <v>203.0</v>
      </c>
      <c r="K320" s="4">
        <v>4050.0</v>
      </c>
      <c r="L320" s="3" t="s">
        <v>18</v>
      </c>
    </row>
    <row r="321" ht="22.5" hidden="1" customHeight="1">
      <c r="A321" s="3" t="s">
        <v>124</v>
      </c>
      <c r="B321" s="4">
        <v>89.0</v>
      </c>
      <c r="C321" s="5" t="s">
        <v>271</v>
      </c>
      <c r="D321" s="3" t="s">
        <v>44</v>
      </c>
      <c r="E321" s="3" t="s">
        <v>202</v>
      </c>
      <c r="F321" s="3" t="s">
        <v>16</v>
      </c>
      <c r="G321" s="3" t="s">
        <v>214</v>
      </c>
      <c r="H321" s="4">
        <v>47.5</v>
      </c>
      <c r="I321" s="4">
        <v>14.0</v>
      </c>
      <c r="J321" s="4">
        <v>212.0</v>
      </c>
      <c r="K321" s="4">
        <v>4875.0</v>
      </c>
      <c r="L321" s="3" t="s">
        <v>20</v>
      </c>
    </row>
    <row r="322" ht="22.5" hidden="1" customHeight="1">
      <c r="A322" s="3" t="s">
        <v>124</v>
      </c>
      <c r="B322" s="4">
        <v>90.0</v>
      </c>
      <c r="C322" s="5" t="s">
        <v>271</v>
      </c>
      <c r="D322" s="3" t="s">
        <v>44</v>
      </c>
      <c r="E322" s="3" t="s">
        <v>203</v>
      </c>
      <c r="F322" s="3" t="s">
        <v>16</v>
      </c>
      <c r="G322" s="3" t="s">
        <v>214</v>
      </c>
      <c r="H322" s="4">
        <v>52.1</v>
      </c>
      <c r="I322" s="4">
        <v>17.0</v>
      </c>
      <c r="J322" s="4">
        <v>230.0</v>
      </c>
      <c r="K322" s="4">
        <v>5550.0</v>
      </c>
      <c r="L322" s="3" t="s">
        <v>18</v>
      </c>
    </row>
    <row r="323" ht="22.5" hidden="1" customHeight="1">
      <c r="A323" s="3" t="s">
        <v>124</v>
      </c>
      <c r="B323" s="4">
        <v>91.0</v>
      </c>
      <c r="C323" s="5" t="s">
        <v>271</v>
      </c>
      <c r="D323" s="3" t="s">
        <v>44</v>
      </c>
      <c r="E323" s="3" t="s">
        <v>204</v>
      </c>
      <c r="F323" s="3" t="s">
        <v>16</v>
      </c>
      <c r="G323" s="3" t="s">
        <v>214</v>
      </c>
      <c r="H323" s="4">
        <v>47.5</v>
      </c>
      <c r="I323" s="4">
        <v>15.0</v>
      </c>
      <c r="J323" s="4">
        <v>218.0</v>
      </c>
      <c r="K323" s="4">
        <v>4950.0</v>
      </c>
      <c r="L323" s="3" t="s">
        <v>20</v>
      </c>
    </row>
    <row r="324" ht="22.5" hidden="1" customHeight="1">
      <c r="A324" s="3" t="s">
        <v>124</v>
      </c>
      <c r="B324" s="4">
        <v>92.0</v>
      </c>
      <c r="C324" s="5" t="s">
        <v>271</v>
      </c>
      <c r="D324" s="3" t="s">
        <v>44</v>
      </c>
      <c r="E324" s="3" t="s">
        <v>205</v>
      </c>
      <c r="F324" s="3" t="s">
        <v>16</v>
      </c>
      <c r="G324" s="3" t="s">
        <v>214</v>
      </c>
      <c r="H324" s="4">
        <v>52.2</v>
      </c>
      <c r="I324" s="4">
        <v>17.1</v>
      </c>
      <c r="J324" s="4">
        <v>228.0</v>
      </c>
      <c r="K324" s="4">
        <v>5400.0</v>
      </c>
      <c r="L324" s="3" t="s">
        <v>18</v>
      </c>
    </row>
    <row r="325" ht="22.5" hidden="1" customHeight="1">
      <c r="A325" s="3" t="s">
        <v>124</v>
      </c>
      <c r="B325" s="4">
        <v>115.0</v>
      </c>
      <c r="C325" s="5" t="s">
        <v>271</v>
      </c>
      <c r="D325" s="3" t="s">
        <v>44</v>
      </c>
      <c r="E325" s="3" t="s">
        <v>90</v>
      </c>
      <c r="F325" s="3" t="s">
        <v>16</v>
      </c>
      <c r="G325" s="3" t="s">
        <v>214</v>
      </c>
      <c r="H325" s="4">
        <v>46.2</v>
      </c>
      <c r="I325" s="4">
        <v>14.1</v>
      </c>
      <c r="J325" s="4">
        <v>217.0</v>
      </c>
      <c r="K325" s="4">
        <v>4375.0</v>
      </c>
      <c r="L325" s="3" t="s">
        <v>20</v>
      </c>
    </row>
    <row r="326" ht="22.5" hidden="1" customHeight="1">
      <c r="A326" s="3" t="s">
        <v>124</v>
      </c>
      <c r="B326" s="4">
        <v>116.0</v>
      </c>
      <c r="C326" s="5" t="s">
        <v>271</v>
      </c>
      <c r="D326" s="3" t="s">
        <v>44</v>
      </c>
      <c r="E326" s="3" t="s">
        <v>91</v>
      </c>
      <c r="F326" s="3" t="s">
        <v>16</v>
      </c>
      <c r="G326" s="3" t="s">
        <v>214</v>
      </c>
      <c r="H326" s="4">
        <v>55.1</v>
      </c>
      <c r="I326" s="4">
        <v>16.0</v>
      </c>
      <c r="J326" s="4">
        <v>230.0</v>
      </c>
      <c r="K326" s="4">
        <v>5850.0</v>
      </c>
      <c r="L326" s="3" t="s">
        <v>18</v>
      </c>
    </row>
    <row r="327" ht="22.5" hidden="1" customHeight="1">
      <c r="A327" s="3" t="s">
        <v>124</v>
      </c>
      <c r="B327" s="4">
        <v>95.0</v>
      </c>
      <c r="C327" s="5" t="s">
        <v>271</v>
      </c>
      <c r="D327" s="3" t="s">
        <v>44</v>
      </c>
      <c r="E327" s="3" t="s">
        <v>208</v>
      </c>
      <c r="F327" s="3" t="s">
        <v>16</v>
      </c>
      <c r="G327" s="3" t="s">
        <v>216</v>
      </c>
      <c r="H327" s="4">
        <v>44.5</v>
      </c>
      <c r="I327" s="4">
        <v>14.7</v>
      </c>
      <c r="J327" s="4">
        <v>214.0</v>
      </c>
      <c r="K327" s="4">
        <v>4850.0</v>
      </c>
      <c r="L327" s="3" t="s">
        <v>20</v>
      </c>
    </row>
    <row r="328" ht="22.5" hidden="1" customHeight="1">
      <c r="A328" s="3" t="s">
        <v>124</v>
      </c>
      <c r="B328" s="4">
        <v>96.0</v>
      </c>
      <c r="C328" s="5" t="s">
        <v>271</v>
      </c>
      <c r="D328" s="3" t="s">
        <v>44</v>
      </c>
      <c r="E328" s="3" t="s">
        <v>209</v>
      </c>
      <c r="F328" s="3" t="s">
        <v>16</v>
      </c>
      <c r="G328" s="3" t="s">
        <v>216</v>
      </c>
      <c r="H328" s="4">
        <v>50.8</v>
      </c>
      <c r="I328" s="4">
        <v>15.7</v>
      </c>
      <c r="J328" s="4">
        <v>226.0</v>
      </c>
      <c r="K328" s="4">
        <v>5200.0</v>
      </c>
      <c r="L328" s="3" t="s">
        <v>18</v>
      </c>
    </row>
    <row r="329" ht="22.5" hidden="1" customHeight="1">
      <c r="A329" s="3" t="s">
        <v>124</v>
      </c>
      <c r="B329" s="4">
        <v>113.0</v>
      </c>
      <c r="C329" s="5" t="s">
        <v>271</v>
      </c>
      <c r="D329" s="3" t="s">
        <v>44</v>
      </c>
      <c r="E329" s="3" t="s">
        <v>87</v>
      </c>
      <c r="F329" s="3" t="s">
        <v>16</v>
      </c>
      <c r="G329" s="3" t="s">
        <v>216</v>
      </c>
      <c r="H329" s="4">
        <v>43.5</v>
      </c>
      <c r="I329" s="4">
        <v>15.2</v>
      </c>
      <c r="J329" s="4">
        <v>213.0</v>
      </c>
      <c r="K329" s="4">
        <v>4650.0</v>
      </c>
      <c r="L329" s="3" t="s">
        <v>20</v>
      </c>
    </row>
    <row r="330" ht="22.5" hidden="1" customHeight="1">
      <c r="A330" s="3" t="s">
        <v>124</v>
      </c>
      <c r="B330" s="4">
        <v>114.0</v>
      </c>
      <c r="C330" s="5" t="s">
        <v>271</v>
      </c>
      <c r="D330" s="3" t="s">
        <v>44</v>
      </c>
      <c r="E330" s="3" t="s">
        <v>89</v>
      </c>
      <c r="F330" s="3" t="s">
        <v>16</v>
      </c>
      <c r="G330" s="3" t="s">
        <v>216</v>
      </c>
      <c r="H330" s="4">
        <v>51.5</v>
      </c>
      <c r="I330" s="4">
        <v>16.3</v>
      </c>
      <c r="J330" s="4">
        <v>230.0</v>
      </c>
      <c r="K330" s="4">
        <v>5500.0</v>
      </c>
      <c r="L330" s="3" t="s">
        <v>18</v>
      </c>
    </row>
    <row r="331" ht="22.5" hidden="1" customHeight="1">
      <c r="A331" s="3" t="s">
        <v>124</v>
      </c>
      <c r="B331" s="4">
        <v>47.0</v>
      </c>
      <c r="C331" s="5" t="s">
        <v>272</v>
      </c>
      <c r="D331" s="3" t="s">
        <v>56</v>
      </c>
      <c r="E331" s="3" t="s">
        <v>243</v>
      </c>
      <c r="F331" s="3" t="s">
        <v>16</v>
      </c>
      <c r="G331" s="3" t="s">
        <v>216</v>
      </c>
      <c r="H331" s="4">
        <v>50.1</v>
      </c>
      <c r="I331" s="4">
        <v>17.9</v>
      </c>
      <c r="J331" s="4">
        <v>190.0</v>
      </c>
      <c r="K331" s="4">
        <v>3400.0</v>
      </c>
      <c r="L331" s="3" t="s">
        <v>20</v>
      </c>
    </row>
    <row r="332" ht="22.5" hidden="1" customHeight="1">
      <c r="A332" s="3" t="s">
        <v>124</v>
      </c>
      <c r="B332" s="4">
        <v>48.0</v>
      </c>
      <c r="C332" s="5" t="s">
        <v>272</v>
      </c>
      <c r="D332" s="3" t="s">
        <v>56</v>
      </c>
      <c r="E332" s="3" t="s">
        <v>244</v>
      </c>
      <c r="F332" s="3" t="s">
        <v>16</v>
      </c>
      <c r="G332" s="3" t="s">
        <v>216</v>
      </c>
      <c r="H332" s="4">
        <v>49.0</v>
      </c>
      <c r="I332" s="4">
        <v>19.6</v>
      </c>
      <c r="J332" s="4">
        <v>212.0</v>
      </c>
      <c r="K332" s="4">
        <v>4300.0</v>
      </c>
      <c r="L332" s="3" t="s">
        <v>18</v>
      </c>
    </row>
    <row r="333" ht="22.5" hidden="1" customHeight="1">
      <c r="A333" s="3" t="s">
        <v>124</v>
      </c>
      <c r="B333" s="4">
        <v>55.0</v>
      </c>
      <c r="C333" s="5" t="s">
        <v>272</v>
      </c>
      <c r="D333" s="3" t="s">
        <v>56</v>
      </c>
      <c r="E333" s="3" t="s">
        <v>251</v>
      </c>
      <c r="F333" s="3" t="s">
        <v>16</v>
      </c>
      <c r="G333" s="3" t="s">
        <v>216</v>
      </c>
      <c r="H333" s="4">
        <v>42.5</v>
      </c>
      <c r="I333" s="4">
        <v>17.3</v>
      </c>
      <c r="J333" s="4">
        <v>187.0</v>
      </c>
      <c r="K333" s="4">
        <v>3350.0</v>
      </c>
      <c r="L333" s="3" t="s">
        <v>20</v>
      </c>
    </row>
    <row r="334" ht="22.5" hidden="1" customHeight="1">
      <c r="A334" s="3" t="s">
        <v>124</v>
      </c>
      <c r="B334" s="4">
        <v>56.0</v>
      </c>
      <c r="C334" s="5" t="s">
        <v>272</v>
      </c>
      <c r="D334" s="3" t="s">
        <v>56</v>
      </c>
      <c r="E334" s="3" t="s">
        <v>252</v>
      </c>
      <c r="F334" s="3" t="s">
        <v>16</v>
      </c>
      <c r="G334" s="3" t="s">
        <v>216</v>
      </c>
      <c r="H334" s="4">
        <v>52.2</v>
      </c>
      <c r="I334" s="4">
        <v>18.8</v>
      </c>
      <c r="J334" s="4">
        <v>197.0</v>
      </c>
      <c r="K334" s="4">
        <v>3450.0</v>
      </c>
      <c r="L334" s="3" t="s">
        <v>18</v>
      </c>
    </row>
    <row r="335" ht="22.5" hidden="1" customHeight="1">
      <c r="A335" s="3" t="s">
        <v>124</v>
      </c>
      <c r="B335" s="4">
        <v>61.0</v>
      </c>
      <c r="C335" s="5" t="s">
        <v>272</v>
      </c>
      <c r="D335" s="3" t="s">
        <v>56</v>
      </c>
      <c r="E335" s="3" t="s">
        <v>257</v>
      </c>
      <c r="F335" s="3" t="s">
        <v>16</v>
      </c>
      <c r="G335" s="3" t="s">
        <v>216</v>
      </c>
      <c r="H335" s="4">
        <v>51.9</v>
      </c>
      <c r="I335" s="4">
        <v>19.5</v>
      </c>
      <c r="J335" s="4">
        <v>206.0</v>
      </c>
      <c r="K335" s="4">
        <v>3950.0</v>
      </c>
      <c r="L335" s="3" t="s">
        <v>18</v>
      </c>
    </row>
    <row r="336" ht="22.5" hidden="1" customHeight="1">
      <c r="A336" s="3" t="s">
        <v>124</v>
      </c>
      <c r="B336" s="4">
        <v>62.0</v>
      </c>
      <c r="C336" s="5" t="s">
        <v>272</v>
      </c>
      <c r="D336" s="3" t="s">
        <v>56</v>
      </c>
      <c r="E336" s="3" t="s">
        <v>258</v>
      </c>
      <c r="F336" s="3" t="s">
        <v>16</v>
      </c>
      <c r="G336" s="3" t="s">
        <v>216</v>
      </c>
      <c r="H336" s="4">
        <v>46.8</v>
      </c>
      <c r="I336" s="4">
        <v>16.5</v>
      </c>
      <c r="J336" s="4">
        <v>189.0</v>
      </c>
      <c r="K336" s="4">
        <v>3650.0</v>
      </c>
      <c r="L336" s="3" t="s">
        <v>20</v>
      </c>
    </row>
    <row r="337" ht="22.5" hidden="1" customHeight="1">
      <c r="A337" s="3" t="s">
        <v>124</v>
      </c>
      <c r="B337" s="4">
        <v>93.0</v>
      </c>
      <c r="C337" s="5" t="s">
        <v>271</v>
      </c>
      <c r="D337" s="3" t="s">
        <v>44</v>
      </c>
      <c r="E337" s="3" t="s">
        <v>54</v>
      </c>
      <c r="F337" s="3" t="s">
        <v>16</v>
      </c>
      <c r="G337" s="3" t="s">
        <v>215</v>
      </c>
      <c r="H337" s="4">
        <v>45.5</v>
      </c>
      <c r="I337" s="4">
        <v>14.5</v>
      </c>
      <c r="J337" s="4">
        <v>212.0</v>
      </c>
      <c r="K337" s="4">
        <v>4750.0</v>
      </c>
      <c r="L337" s="3" t="s">
        <v>20</v>
      </c>
    </row>
    <row r="338" ht="22.5" hidden="1" customHeight="1">
      <c r="A338" s="3" t="s">
        <v>124</v>
      </c>
      <c r="B338" s="4">
        <v>94.0</v>
      </c>
      <c r="C338" s="5" t="s">
        <v>271</v>
      </c>
      <c r="D338" s="3" t="s">
        <v>44</v>
      </c>
      <c r="E338" s="3" t="s">
        <v>55</v>
      </c>
      <c r="F338" s="3" t="s">
        <v>16</v>
      </c>
      <c r="G338" s="3" t="s">
        <v>215</v>
      </c>
      <c r="H338" s="4">
        <v>49.5</v>
      </c>
      <c r="I338" s="4">
        <v>16.1</v>
      </c>
      <c r="J338" s="4">
        <v>224.0</v>
      </c>
      <c r="K338" s="4">
        <v>5650.0</v>
      </c>
      <c r="L338" s="3" t="s">
        <v>18</v>
      </c>
    </row>
    <row r="339" ht="22.5" hidden="1" customHeight="1">
      <c r="A339" s="3" t="s">
        <v>124</v>
      </c>
      <c r="B339" s="4">
        <v>105.0</v>
      </c>
      <c r="C339" s="5" t="s">
        <v>271</v>
      </c>
      <c r="D339" s="3" t="s">
        <v>44</v>
      </c>
      <c r="E339" s="3" t="s">
        <v>63</v>
      </c>
      <c r="F339" s="3" t="s">
        <v>16</v>
      </c>
      <c r="G339" s="3" t="s">
        <v>215</v>
      </c>
      <c r="H339" s="4">
        <v>47.3</v>
      </c>
      <c r="I339" s="4">
        <v>13.8</v>
      </c>
      <c r="J339" s="4">
        <v>216.0</v>
      </c>
      <c r="K339" s="4">
        <v>4725.0</v>
      </c>
      <c r="L339" s="3" t="s">
        <v>31</v>
      </c>
    </row>
    <row r="340" ht="22.5" hidden="1" customHeight="1">
      <c r="A340" s="3" t="s">
        <v>124</v>
      </c>
      <c r="B340" s="4">
        <v>106.0</v>
      </c>
      <c r="C340" s="5" t="s">
        <v>271</v>
      </c>
      <c r="D340" s="3" t="s">
        <v>44</v>
      </c>
      <c r="E340" s="3" t="s">
        <v>64</v>
      </c>
      <c r="F340" s="3" t="s">
        <v>16</v>
      </c>
      <c r="G340" s="3" t="s">
        <v>215</v>
      </c>
      <c r="H340" s="4">
        <v>46.8</v>
      </c>
      <c r="I340" s="4">
        <v>16.1</v>
      </c>
      <c r="J340" s="4">
        <v>215.0</v>
      </c>
      <c r="K340" s="4">
        <v>5500.0</v>
      </c>
      <c r="L340" s="3" t="s">
        <v>18</v>
      </c>
    </row>
    <row r="341" ht="22.5" hidden="1" customHeight="1">
      <c r="A341" s="3" t="s">
        <v>124</v>
      </c>
      <c r="B341" s="4">
        <v>117.0</v>
      </c>
      <c r="C341" s="5" t="s">
        <v>271</v>
      </c>
      <c r="D341" s="3" t="s">
        <v>44</v>
      </c>
      <c r="E341" s="3" t="s">
        <v>92</v>
      </c>
      <c r="F341" s="3" t="s">
        <v>16</v>
      </c>
      <c r="G341" s="3" t="s">
        <v>215</v>
      </c>
      <c r="H341" s="4">
        <v>44.5</v>
      </c>
      <c r="I341" s="4">
        <v>15.7</v>
      </c>
      <c r="J341" s="4">
        <v>217.0</v>
      </c>
      <c r="K341" s="4">
        <v>4875.0</v>
      </c>
      <c r="L341" s="3" t="s">
        <v>31</v>
      </c>
    </row>
    <row r="342" ht="22.5" hidden="1" customHeight="1">
      <c r="A342" s="3" t="s">
        <v>124</v>
      </c>
      <c r="B342" s="4">
        <v>118.0</v>
      </c>
      <c r="C342" s="5" t="s">
        <v>271</v>
      </c>
      <c r="D342" s="3" t="s">
        <v>44</v>
      </c>
      <c r="E342" s="3" t="s">
        <v>94</v>
      </c>
      <c r="F342" s="3" t="s">
        <v>16</v>
      </c>
      <c r="G342" s="3" t="s">
        <v>215</v>
      </c>
      <c r="H342" s="4">
        <v>48.8</v>
      </c>
      <c r="I342" s="4">
        <v>16.2</v>
      </c>
      <c r="J342" s="4">
        <v>222.0</v>
      </c>
      <c r="K342" s="4">
        <v>6000.0</v>
      </c>
      <c r="L342" s="3" t="s">
        <v>18</v>
      </c>
    </row>
    <row r="343" ht="22.5" hidden="1" customHeight="1">
      <c r="A343" s="3" t="s">
        <v>124</v>
      </c>
      <c r="B343" s="4">
        <v>119.0</v>
      </c>
      <c r="C343" s="5" t="s">
        <v>271</v>
      </c>
      <c r="D343" s="3" t="s">
        <v>44</v>
      </c>
      <c r="E343" s="3" t="s">
        <v>97</v>
      </c>
      <c r="F343" s="3" t="s">
        <v>26</v>
      </c>
      <c r="G343" s="3" t="s">
        <v>215</v>
      </c>
      <c r="H343" s="4">
        <v>47.2</v>
      </c>
      <c r="I343" s="4">
        <v>13.7</v>
      </c>
      <c r="J343" s="4">
        <v>214.0</v>
      </c>
      <c r="K343" s="4">
        <v>4925.0</v>
      </c>
      <c r="L343" s="3" t="s">
        <v>20</v>
      </c>
    </row>
  </sheetData>
  <dataValidations>
    <dataValidation type="list" allowBlank="1" showDropDown="1" showErrorMessage="1" sqref="E2:E343">
      <formula1>"N1A1,N1A2,N2A1,N2A2,N3A1,N3A2,N4A1,N4A2,N5A1,N5A2,N6A1,N6A2,N7A1,N7A2,N8A1,N8A2,N9A1,N9A2,N10A1,N10A2,N11A1,N11A2,N12A1,N12A2,N13A1,N13A2,N17A1,N17A2,N18A1,N18A2,N21A1,N21A2,N22A1,N22A2,N23A1,N23A2,N24A1,N24A2,N25A1,N25A2,N26A1,N26A2,N27A1,N27A2,N28A1,N28"&amp;"A2,N29A1,N29A2,N30A1,N30A2,N32A1,N32A2,N34A1,N34A2,N35A1,N35A2,N36A1,N36A2,N37A1,N37A2,N38A1,N38A2,N39A1,N39A2,N40A1,N40A2,N41A1,N41A2,N42A1,N42A2,N44A1,N44A2,N45A1,N45A2,N46A1,N46A2,N48A1,N48A2,N49A1,N49A2,N50A1,N50A2,N47A1,N47A2,N51A1,N51A2,N53A1,N53A2,"&amp;"N55A1,N55A2,N58A1,N58A2,N60A1,N60A2,N61A1,N61A2,N63A1,N63A2,N64A1,N64A2,N66A1,N66A2,N67A1,N67A2,N69A1,N69A2,N71A1,N71A2,N72A1,N72A2,N73A1,N73A2,N76A1,N76A2,N77A1,N77A2,N78A1,N78A2,N79A1,N79A2,N80A1,N80A2,N81A1,N81A2,N82A1,N82A2,N83A1,N83A2,N84A1,N84A2,N85"&amp;"A1,N85A2,N31A1,N31A2,N33A1,N33A2,N56A1,N56A2,N14A1,N14A2,N15A1,N15A2,N16A1,N16A2,N19A1,N19A2,N20A1,N20A2,N54A1,N54A2,N43A1,N43A2,N62A1,N62A2,N68A1,N68A2,N70A1,N70A2,N89A1,N89A2,N65A1,N65A2,N74A1,N74A2,N75A1,N75A2,N86A1,N86A2,N87A1,N87A2,N88A1,N88A2,N90A1,"&amp;"N90A2,N92A1,N92A2,N93A1,N93A2,N94A1,N94A2,N95A1,N95A2,N96A1,N96A2,N98A1,N98A2,N99A1,N99A2,N100A1,N100A2"</formula1>
    </dataValidation>
    <dataValidation type="list" allowBlank="1" showDropDown="1" showErrorMessage="1" sqref="F2:F343">
      <formula1>"Yes,No"</formula1>
    </dataValidation>
    <dataValidation type="list" allowBlank="1" showDropDown="1" showErrorMessage="1" sqref="G2:G343">
      <formula1>"2007-11-11,2007-11-16,2007-11-15,2007-11-09,2007-11-12,2007-11-10,2007-11-13,2007-11-19,2008-11-06,2008-11-09,2008-11-15,2008-11-13,2008-11-11,2008-11-14,2008-11-08,2008-11-02,2008-11-07,2008-11-17,2008-11-05,2008-11-10,2009-11-09,2009-11-15,2009-11-20,20"&amp;"09-11-12,2009-11-17,2009-11-18,2009-11-22,2009-11-16,2009-11-21,2009-11-23,2009-11-10,2009-11-13,2009-11-14,2007-11-27,2007-11-18,2007-11-29,2007-12-03,2008-11-04,2008-11-03,2009-11-25,2009-12-01,2009-11-27,2007-11-26,2007-11-21,2007-11-28,2007-11-22,2007"&amp;"-11-30,2008-11-25,2008-11-24,2009-11-19"</formula1>
    </dataValidation>
    <dataValidation type="list" allowBlank="1" showDropDown="1" showErrorMessage="1" sqref="A2:A343">
      <formula1>"PAL0708,PAL0809,PAL0910"</formula1>
    </dataValidation>
    <dataValidation type="list" allowBlank="1" showDropDown="1" showErrorMessage="1" sqref="L2:L343">
      <formula1>"MALE,FEMALE,NA"</formula1>
    </dataValidation>
    <dataValidation type="custom" allowBlank="1" showDropDown="1" sqref="B2:B343 H2:K343">
      <formula1>AND(ISNUMBER(B2),(NOT(OR(NOT(ISERROR(DATEVALUE(B2))), AND(ISNUMBER(B2), LEFT(CELL("format", B2))="D")))))</formula1>
    </dataValidation>
    <dataValidation type="list" allowBlank="1" showDropDown="1" showErrorMessage="1" sqref="D2:D343">
      <formula1>"Torgersen,Biscoe,Dream"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29"/>
    <col customWidth="1" min="7" max="7" width="16.71"/>
  </cols>
  <sheetData>
    <row r="4">
      <c r="A4" s="6" t="s">
        <v>275</v>
      </c>
    </row>
    <row r="5">
      <c r="A5" s="7"/>
    </row>
    <row r="6">
      <c r="A6" s="8" t="s">
        <v>276</v>
      </c>
    </row>
    <row r="7">
      <c r="A7" s="7"/>
    </row>
    <row r="8">
      <c r="D8" s="9" t="s">
        <v>0</v>
      </c>
      <c r="E8" s="9" t="s">
        <v>270</v>
      </c>
      <c r="F8" s="9" t="s">
        <v>272</v>
      </c>
      <c r="G8" s="9" t="s">
        <v>271</v>
      </c>
      <c r="H8" s="11" t="s">
        <v>274</v>
      </c>
    </row>
    <row r="9">
      <c r="D9" s="12" t="s">
        <v>12</v>
      </c>
      <c r="E9" s="13">
        <v>49.0</v>
      </c>
      <c r="F9" s="13">
        <v>26.0</v>
      </c>
      <c r="G9" s="13">
        <v>34.0</v>
      </c>
      <c r="H9" s="14">
        <v>109.0</v>
      </c>
    </row>
    <row r="10">
      <c r="D10" s="12" t="s">
        <v>79</v>
      </c>
      <c r="E10" s="13">
        <v>50.0</v>
      </c>
      <c r="F10" s="13">
        <v>18.0</v>
      </c>
      <c r="G10" s="13">
        <v>46.0</v>
      </c>
      <c r="H10" s="14">
        <v>114.0</v>
      </c>
    </row>
    <row r="11">
      <c r="D11" s="12" t="s">
        <v>124</v>
      </c>
      <c r="E11" s="13">
        <v>52.0</v>
      </c>
      <c r="F11" s="13">
        <v>24.0</v>
      </c>
      <c r="G11" s="13">
        <v>43.0</v>
      </c>
      <c r="H11" s="14">
        <v>119.0</v>
      </c>
    </row>
    <row r="12">
      <c r="D12" s="15" t="s">
        <v>274</v>
      </c>
      <c r="E12" s="15">
        <v>151.0</v>
      </c>
      <c r="F12" s="15">
        <v>68.0</v>
      </c>
      <c r="G12" s="15">
        <v>123.0</v>
      </c>
      <c r="H12" s="11">
        <v>342.0</v>
      </c>
    </row>
    <row r="13">
      <c r="A13" s="7"/>
    </row>
    <row r="14">
      <c r="A14" s="17"/>
    </row>
    <row r="15">
      <c r="A15" s="17"/>
    </row>
    <row r="16">
      <c r="A16" s="17"/>
    </row>
    <row r="17">
      <c r="A17" s="17"/>
    </row>
    <row r="18">
      <c r="A18" s="17"/>
    </row>
    <row r="19">
      <c r="A19" s="17"/>
    </row>
    <row r="20">
      <c r="A20" s="17"/>
    </row>
    <row r="21">
      <c r="A21" s="17"/>
    </row>
    <row r="22">
      <c r="A22" s="17"/>
    </row>
    <row r="23">
      <c r="A23" s="17"/>
    </row>
    <row r="24">
      <c r="A24" s="17"/>
    </row>
    <row r="25">
      <c r="A25" s="17"/>
    </row>
    <row r="26">
      <c r="A26" s="17"/>
    </row>
    <row r="27">
      <c r="A27" s="17"/>
    </row>
    <row r="28">
      <c r="A28" s="17" t="s">
        <v>278</v>
      </c>
    </row>
    <row r="29">
      <c r="A29" s="17" t="s">
        <v>279</v>
      </c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 t="s">
        <v>280</v>
      </c>
    </row>
    <row r="36">
      <c r="A36" s="7"/>
    </row>
    <row r="37">
      <c r="A37" s="18" t="s">
        <v>281</v>
      </c>
      <c r="B37" s="9" t="s">
        <v>44</v>
      </c>
      <c r="C37" s="9" t="s">
        <v>56</v>
      </c>
      <c r="D37" s="9" t="s">
        <v>14</v>
      </c>
      <c r="E37" s="9" t="s">
        <v>274</v>
      </c>
      <c r="F37" s="18" t="s">
        <v>282</v>
      </c>
    </row>
    <row r="38">
      <c r="A38" s="12" t="s">
        <v>270</v>
      </c>
      <c r="B38" s="13">
        <v>44.0</v>
      </c>
      <c r="C38" s="13">
        <v>56.0</v>
      </c>
      <c r="D38" s="13">
        <v>51.0</v>
      </c>
      <c r="E38" s="13">
        <v>151.0</v>
      </c>
      <c r="F38" s="19">
        <f t="shared" ref="F38:F40" si="1">$E38/$E$41</f>
        <v>0.4415204678</v>
      </c>
    </row>
    <row r="39">
      <c r="A39" s="12" t="s">
        <v>272</v>
      </c>
      <c r="B39" s="13"/>
      <c r="C39" s="13">
        <v>68.0</v>
      </c>
      <c r="D39" s="13"/>
      <c r="E39" s="13">
        <v>68.0</v>
      </c>
      <c r="F39" s="19">
        <f t="shared" si="1"/>
        <v>0.1988304094</v>
      </c>
    </row>
    <row r="40">
      <c r="A40" s="12" t="s">
        <v>271</v>
      </c>
      <c r="B40" s="13">
        <v>123.0</v>
      </c>
      <c r="C40" s="13"/>
      <c r="D40" s="13"/>
      <c r="E40" s="13">
        <v>123.0</v>
      </c>
      <c r="F40" s="19">
        <f t="shared" si="1"/>
        <v>0.3596491228</v>
      </c>
    </row>
    <row r="41">
      <c r="A41" s="15" t="s">
        <v>274</v>
      </c>
      <c r="B41" s="15">
        <v>167.0</v>
      </c>
      <c r="C41" s="15">
        <v>124.0</v>
      </c>
      <c r="D41" s="15">
        <v>51.0</v>
      </c>
      <c r="E41" s="15">
        <v>342.0</v>
      </c>
      <c r="F41" s="15"/>
    </row>
    <row r="42">
      <c r="A42" s="20" t="s">
        <v>283</v>
      </c>
      <c r="B42" s="21">
        <f t="shared" ref="B42:D42" si="2">B$41/$E$41</f>
        <v>0.4883040936</v>
      </c>
      <c r="C42" s="21">
        <f t="shared" si="2"/>
        <v>0.3625730994</v>
      </c>
      <c r="D42" s="21">
        <f t="shared" si="2"/>
        <v>0.149122807</v>
      </c>
      <c r="E42" s="22"/>
    </row>
    <row r="43">
      <c r="A43" s="23"/>
      <c r="B43" s="23"/>
      <c r="C43" s="23"/>
      <c r="D43" s="23"/>
      <c r="E43" s="23"/>
      <c r="F43" s="24"/>
    </row>
    <row r="44">
      <c r="A44" s="9" t="s">
        <v>2</v>
      </c>
      <c r="B44" s="9" t="s">
        <v>3</v>
      </c>
      <c r="C44" s="9" t="s">
        <v>12</v>
      </c>
      <c r="D44" s="9" t="s">
        <v>79</v>
      </c>
      <c r="E44" s="9" t="s">
        <v>124</v>
      </c>
      <c r="F44" s="18" t="s">
        <v>284</v>
      </c>
    </row>
    <row r="45">
      <c r="A45" s="25" t="s">
        <v>270</v>
      </c>
      <c r="B45" s="26" t="s">
        <v>44</v>
      </c>
      <c r="C45" s="27">
        <v>10.0</v>
      </c>
      <c r="D45" s="27">
        <v>18.0</v>
      </c>
      <c r="E45" s="27">
        <v>16.0</v>
      </c>
      <c r="F45" s="27">
        <v>44.0</v>
      </c>
    </row>
    <row r="46">
      <c r="A46" s="28"/>
      <c r="B46" s="26" t="s">
        <v>56</v>
      </c>
      <c r="C46" s="27">
        <v>20.0</v>
      </c>
      <c r="D46" s="27">
        <v>16.0</v>
      </c>
      <c r="E46" s="27">
        <v>20.0</v>
      </c>
      <c r="F46" s="27">
        <v>56.0</v>
      </c>
    </row>
    <row r="47">
      <c r="A47" s="28"/>
      <c r="B47" s="26" t="s">
        <v>14</v>
      </c>
      <c r="C47" s="27">
        <v>19.0</v>
      </c>
      <c r="D47" s="27">
        <v>16.0</v>
      </c>
      <c r="E47" s="27">
        <v>16.0</v>
      </c>
      <c r="F47" s="27">
        <v>51.0</v>
      </c>
    </row>
    <row r="48">
      <c r="A48" s="29"/>
      <c r="B48" s="30"/>
      <c r="C48" s="31">
        <v>49.0</v>
      </c>
      <c r="D48" s="31">
        <v>50.0</v>
      </c>
      <c r="E48" s="31">
        <v>52.0</v>
      </c>
      <c r="F48" s="31">
        <v>151.0</v>
      </c>
    </row>
    <row r="49">
      <c r="A49" s="32" t="s">
        <v>272</v>
      </c>
      <c r="B49" s="33" t="s">
        <v>56</v>
      </c>
      <c r="C49" s="34">
        <v>26.0</v>
      </c>
      <c r="D49" s="34">
        <v>18.0</v>
      </c>
      <c r="E49" s="34">
        <v>24.0</v>
      </c>
      <c r="F49" s="34">
        <v>68.0</v>
      </c>
    </row>
    <row r="50">
      <c r="A50" s="29"/>
      <c r="B50" s="35"/>
      <c r="C50" s="36">
        <v>26.0</v>
      </c>
      <c r="D50" s="36">
        <v>18.0</v>
      </c>
      <c r="E50" s="36">
        <v>24.0</v>
      </c>
      <c r="F50" s="36">
        <v>68.0</v>
      </c>
    </row>
    <row r="51">
      <c r="A51" s="37" t="s">
        <v>271</v>
      </c>
      <c r="B51" s="38" t="s">
        <v>44</v>
      </c>
      <c r="C51" s="39">
        <v>34.0</v>
      </c>
      <c r="D51" s="39">
        <v>46.0</v>
      </c>
      <c r="E51" s="39">
        <v>43.0</v>
      </c>
      <c r="F51" s="39">
        <v>123.0</v>
      </c>
    </row>
    <row r="52">
      <c r="A52" s="29"/>
      <c r="B52" s="38"/>
      <c r="C52" s="40">
        <v>34.0</v>
      </c>
      <c r="D52" s="40">
        <v>46.0</v>
      </c>
      <c r="E52" s="40">
        <v>43.0</v>
      </c>
      <c r="F52" s="40">
        <v>123.0</v>
      </c>
    </row>
    <row r="53">
      <c r="A53" s="41" t="s">
        <v>285</v>
      </c>
      <c r="B53" s="42"/>
      <c r="C53" s="43">
        <v>109.0</v>
      </c>
      <c r="D53" s="43">
        <v>114.0</v>
      </c>
      <c r="E53" s="43">
        <v>119.0</v>
      </c>
      <c r="F53" s="43">
        <v>342.0</v>
      </c>
    </row>
    <row r="54">
      <c r="A54" s="17"/>
    </row>
    <row r="55">
      <c r="A55" s="17"/>
    </row>
    <row r="56">
      <c r="A56" s="18" t="s">
        <v>281</v>
      </c>
      <c r="B56" s="9" t="s">
        <v>44</v>
      </c>
      <c r="C56" s="9" t="s">
        <v>56</v>
      </c>
      <c r="D56" s="9" t="s">
        <v>14</v>
      </c>
    </row>
    <row r="57">
      <c r="A57" s="20" t="s">
        <v>283</v>
      </c>
      <c r="B57" s="19">
        <v>0.48830409356725146</v>
      </c>
      <c r="C57" s="19">
        <v>0.36257309941520466</v>
      </c>
      <c r="D57" s="19">
        <v>0.14912280701754385</v>
      </c>
    </row>
    <row r="58">
      <c r="A58" s="17"/>
    </row>
    <row r="59">
      <c r="A59" s="17"/>
    </row>
    <row r="60">
      <c r="A60" s="17" t="s">
        <v>286</v>
      </c>
    </row>
    <row r="61">
      <c r="A61" s="17"/>
    </row>
    <row r="63">
      <c r="A63" s="8"/>
    </row>
    <row r="64">
      <c r="A64" s="8" t="s">
        <v>287</v>
      </c>
    </row>
    <row r="65">
      <c r="A65" s="17"/>
    </row>
    <row r="66">
      <c r="A66" s="17" t="s">
        <v>288</v>
      </c>
    </row>
    <row r="67">
      <c r="A67" s="17" t="s">
        <v>289</v>
      </c>
    </row>
    <row r="68">
      <c r="A68" s="44"/>
    </row>
    <row r="69">
      <c r="A69" s="44"/>
    </row>
    <row r="70">
      <c r="A70" s="6" t="s">
        <v>290</v>
      </c>
    </row>
    <row r="71">
      <c r="A71" s="44"/>
    </row>
    <row r="72">
      <c r="A72" s="44"/>
    </row>
    <row r="73">
      <c r="A73" s="8" t="s">
        <v>291</v>
      </c>
    </row>
    <row r="74">
      <c r="A74" s="44"/>
    </row>
    <row r="75">
      <c r="A75" s="45" t="s">
        <v>292</v>
      </c>
    </row>
    <row r="77">
      <c r="A77" s="7" t="s">
        <v>292</v>
      </c>
      <c r="B77" s="46" t="s">
        <v>20</v>
      </c>
      <c r="C77" s="46" t="s">
        <v>18</v>
      </c>
    </row>
    <row r="78">
      <c r="A78" s="7" t="s">
        <v>293</v>
      </c>
      <c r="B78" s="47">
        <v>165.0</v>
      </c>
      <c r="C78" s="47">
        <v>168.0</v>
      </c>
    </row>
    <row r="81">
      <c r="A81" s="46" t="s">
        <v>2</v>
      </c>
      <c r="B81" s="46" t="s">
        <v>20</v>
      </c>
      <c r="C81" s="46" t="s">
        <v>18</v>
      </c>
      <c r="D81" s="46" t="s">
        <v>31</v>
      </c>
      <c r="E81" s="46" t="s">
        <v>274</v>
      </c>
      <c r="H81" s="48"/>
      <c r="I81" s="48"/>
      <c r="J81" s="48"/>
      <c r="K81" s="48"/>
    </row>
    <row r="82">
      <c r="A82" s="49" t="s">
        <v>270</v>
      </c>
      <c r="B82" s="50">
        <v>73.0</v>
      </c>
      <c r="C82" s="50">
        <v>73.0</v>
      </c>
      <c r="D82" s="50">
        <v>5.0</v>
      </c>
      <c r="E82" s="50">
        <v>151.0</v>
      </c>
      <c r="H82" s="48"/>
      <c r="I82" s="48"/>
      <c r="J82" s="48"/>
      <c r="K82" s="48"/>
    </row>
    <row r="83">
      <c r="A83" s="51" t="s">
        <v>272</v>
      </c>
      <c r="B83" s="52">
        <v>34.0</v>
      </c>
      <c r="C83" s="52">
        <v>34.0</v>
      </c>
      <c r="D83" s="52"/>
      <c r="E83" s="52">
        <v>68.0</v>
      </c>
      <c r="H83" s="48"/>
      <c r="I83" s="48"/>
      <c r="J83" s="48"/>
      <c r="K83" s="48"/>
    </row>
    <row r="84">
      <c r="A84" s="26" t="s">
        <v>271</v>
      </c>
      <c r="B84" s="53">
        <v>58.0</v>
      </c>
      <c r="C84" s="53">
        <v>61.0</v>
      </c>
      <c r="D84" s="53">
        <v>4.0</v>
      </c>
      <c r="E84" s="53">
        <v>123.0</v>
      </c>
    </row>
    <row r="85">
      <c r="A85" s="54" t="s">
        <v>274</v>
      </c>
      <c r="B85" s="47">
        <v>165.0</v>
      </c>
      <c r="C85" s="47">
        <v>168.0</v>
      </c>
      <c r="D85" s="47">
        <v>9.0</v>
      </c>
      <c r="E85" s="47">
        <v>342.0</v>
      </c>
    </row>
    <row r="86">
      <c r="A86" s="44"/>
    </row>
    <row r="87">
      <c r="A87" s="46" t="s">
        <v>3</v>
      </c>
      <c r="B87" s="46" t="s">
        <v>20</v>
      </c>
      <c r="C87" s="46" t="s">
        <v>18</v>
      </c>
      <c r="D87" s="46" t="s">
        <v>31</v>
      </c>
      <c r="E87" s="46" t="s">
        <v>274</v>
      </c>
    </row>
    <row r="88">
      <c r="A88" s="49" t="s">
        <v>44</v>
      </c>
      <c r="B88" s="50">
        <v>80.0</v>
      </c>
      <c r="C88" s="50">
        <v>83.0</v>
      </c>
      <c r="D88" s="50">
        <v>4.0</v>
      </c>
      <c r="E88" s="50">
        <v>167.0</v>
      </c>
    </row>
    <row r="89">
      <c r="A89" s="51" t="s">
        <v>56</v>
      </c>
      <c r="B89" s="52">
        <v>61.0</v>
      </c>
      <c r="C89" s="52">
        <v>62.0</v>
      </c>
      <c r="D89" s="52">
        <v>1.0</v>
      </c>
      <c r="E89" s="52">
        <v>124.0</v>
      </c>
    </row>
    <row r="90">
      <c r="A90" s="26" t="s">
        <v>14</v>
      </c>
      <c r="B90" s="53">
        <v>24.0</v>
      </c>
      <c r="C90" s="53">
        <v>23.0</v>
      </c>
      <c r="D90" s="53">
        <v>4.0</v>
      </c>
      <c r="E90" s="53">
        <v>51.0</v>
      </c>
    </row>
    <row r="91">
      <c r="A91" s="54" t="s">
        <v>274</v>
      </c>
      <c r="B91" s="47">
        <v>165.0</v>
      </c>
      <c r="C91" s="47">
        <v>168.0</v>
      </c>
      <c r="D91" s="47">
        <v>9.0</v>
      </c>
      <c r="E91" s="47">
        <v>342.0</v>
      </c>
    </row>
    <row r="94">
      <c r="A94" s="55" t="s">
        <v>0</v>
      </c>
      <c r="B94" s="55" t="s">
        <v>2</v>
      </c>
      <c r="C94" s="55" t="s">
        <v>20</v>
      </c>
      <c r="D94" s="55" t="s">
        <v>18</v>
      </c>
      <c r="E94" s="55" t="s">
        <v>31</v>
      </c>
      <c r="F94" s="56" t="s">
        <v>274</v>
      </c>
    </row>
    <row r="95">
      <c r="A95" s="57" t="s">
        <v>12</v>
      </c>
      <c r="B95" s="57" t="s">
        <v>270</v>
      </c>
      <c r="C95" s="57">
        <v>22.0</v>
      </c>
      <c r="D95" s="57">
        <v>22.0</v>
      </c>
      <c r="E95" s="57">
        <v>5.0</v>
      </c>
      <c r="F95" s="58">
        <v>49.0</v>
      </c>
    </row>
    <row r="96">
      <c r="A96" s="57"/>
      <c r="B96" s="57" t="s">
        <v>272</v>
      </c>
      <c r="C96" s="57">
        <v>13.0</v>
      </c>
      <c r="D96" s="57">
        <v>13.0</v>
      </c>
      <c r="E96" s="57"/>
      <c r="F96" s="58">
        <v>26.0</v>
      </c>
    </row>
    <row r="97">
      <c r="A97" s="57"/>
      <c r="B97" s="57" t="s">
        <v>271</v>
      </c>
      <c r="C97" s="57">
        <v>16.0</v>
      </c>
      <c r="D97" s="57">
        <v>17.0</v>
      </c>
      <c r="E97" s="57">
        <v>1.0</v>
      </c>
      <c r="F97" s="58">
        <v>34.0</v>
      </c>
      <c r="G97" s="59"/>
    </row>
    <row r="98">
      <c r="A98" s="60" t="s">
        <v>79</v>
      </c>
      <c r="B98" s="60" t="s">
        <v>270</v>
      </c>
      <c r="C98" s="60">
        <v>25.0</v>
      </c>
      <c r="D98" s="60">
        <v>25.0</v>
      </c>
      <c r="E98" s="60"/>
      <c r="F98" s="61">
        <v>50.0</v>
      </c>
      <c r="G98" s="62"/>
    </row>
    <row r="99">
      <c r="A99" s="60"/>
      <c r="B99" s="60" t="s">
        <v>272</v>
      </c>
      <c r="C99" s="60">
        <v>9.0</v>
      </c>
      <c r="D99" s="60">
        <v>9.0</v>
      </c>
      <c r="E99" s="60"/>
      <c r="F99" s="61">
        <v>18.0</v>
      </c>
      <c r="G99" s="62"/>
    </row>
    <row r="100">
      <c r="A100" s="60"/>
      <c r="B100" s="60" t="s">
        <v>271</v>
      </c>
      <c r="C100" s="60">
        <v>22.0</v>
      </c>
      <c r="D100" s="60">
        <v>23.0</v>
      </c>
      <c r="E100" s="60">
        <v>1.0</v>
      </c>
      <c r="F100" s="61">
        <v>46.0</v>
      </c>
      <c r="G100" s="62"/>
    </row>
    <row r="101">
      <c r="A101" s="26" t="s">
        <v>124</v>
      </c>
      <c r="B101" s="26" t="s">
        <v>270</v>
      </c>
      <c r="C101" s="26">
        <v>26.0</v>
      </c>
      <c r="D101" s="26">
        <v>26.0</v>
      </c>
      <c r="E101" s="26"/>
      <c r="F101" s="63">
        <v>52.0</v>
      </c>
      <c r="G101" s="62"/>
    </row>
    <row r="102">
      <c r="A102" s="26"/>
      <c r="B102" s="26" t="s">
        <v>272</v>
      </c>
      <c r="C102" s="26">
        <v>12.0</v>
      </c>
      <c r="D102" s="26">
        <v>12.0</v>
      </c>
      <c r="E102" s="26"/>
      <c r="F102" s="63">
        <v>24.0</v>
      </c>
      <c r="G102" s="62"/>
    </row>
    <row r="103">
      <c r="A103" s="26"/>
      <c r="B103" s="26" t="s">
        <v>271</v>
      </c>
      <c r="C103" s="26">
        <v>20.0</v>
      </c>
      <c r="D103" s="26">
        <v>21.0</v>
      </c>
      <c r="E103" s="26">
        <v>2.0</v>
      </c>
      <c r="F103" s="63">
        <v>43.0</v>
      </c>
      <c r="G103" s="62"/>
    </row>
    <row r="104">
      <c r="A104" s="64" t="s">
        <v>274</v>
      </c>
      <c r="B104" s="64"/>
      <c r="C104" s="64">
        <v>165.0</v>
      </c>
      <c r="D104" s="64">
        <v>168.0</v>
      </c>
      <c r="E104" s="64">
        <v>9.0</v>
      </c>
      <c r="F104" s="65">
        <v>342.0</v>
      </c>
      <c r="G104" s="62"/>
    </row>
    <row r="105">
      <c r="G105" s="62"/>
    </row>
    <row r="106">
      <c r="G106" s="62"/>
    </row>
    <row r="107">
      <c r="A107" s="10" t="s">
        <v>2</v>
      </c>
      <c r="B107" s="10" t="s">
        <v>3</v>
      </c>
      <c r="C107" s="10" t="s">
        <v>20</v>
      </c>
      <c r="D107" s="10" t="s">
        <v>18</v>
      </c>
      <c r="E107" s="10" t="s">
        <v>31</v>
      </c>
      <c r="F107" s="66" t="s">
        <v>274</v>
      </c>
      <c r="G107" s="62"/>
    </row>
    <row r="108">
      <c r="A108" s="49" t="s">
        <v>270</v>
      </c>
      <c r="B108" s="49" t="s">
        <v>44</v>
      </c>
      <c r="C108" s="49">
        <v>22.0</v>
      </c>
      <c r="D108" s="49">
        <v>22.0</v>
      </c>
      <c r="E108" s="49"/>
      <c r="F108" s="67">
        <v>44.0</v>
      </c>
      <c r="G108" s="62"/>
    </row>
    <row r="109">
      <c r="A109" s="49"/>
      <c r="B109" s="49" t="s">
        <v>56</v>
      </c>
      <c r="C109" s="49">
        <v>27.0</v>
      </c>
      <c r="D109" s="49">
        <v>28.0</v>
      </c>
      <c r="E109" s="49">
        <v>1.0</v>
      </c>
      <c r="F109" s="67">
        <v>56.0</v>
      </c>
      <c r="G109" s="62"/>
    </row>
    <row r="110">
      <c r="A110" s="49"/>
      <c r="B110" s="49" t="s">
        <v>14</v>
      </c>
      <c r="C110" s="49">
        <v>24.0</v>
      </c>
      <c r="D110" s="49">
        <v>23.0</v>
      </c>
      <c r="E110" s="49">
        <v>4.0</v>
      </c>
      <c r="F110" s="67">
        <v>51.0</v>
      </c>
      <c r="G110" s="62"/>
    </row>
    <row r="111">
      <c r="A111" s="51" t="s">
        <v>272</v>
      </c>
      <c r="B111" s="51" t="s">
        <v>56</v>
      </c>
      <c r="C111" s="51">
        <v>34.0</v>
      </c>
      <c r="D111" s="51">
        <v>34.0</v>
      </c>
      <c r="E111" s="51"/>
      <c r="F111" s="68">
        <v>68.0</v>
      </c>
      <c r="G111" s="62"/>
    </row>
    <row r="112">
      <c r="A112" s="26" t="s">
        <v>271</v>
      </c>
      <c r="B112" s="26" t="s">
        <v>44</v>
      </c>
      <c r="C112" s="26">
        <v>58.0</v>
      </c>
      <c r="D112" s="26">
        <v>61.0</v>
      </c>
      <c r="E112" s="26">
        <v>4.0</v>
      </c>
      <c r="F112" s="69">
        <v>123.0</v>
      </c>
      <c r="G112" s="62"/>
    </row>
    <row r="113">
      <c r="A113" s="64" t="s">
        <v>274</v>
      </c>
      <c r="B113" s="64"/>
      <c r="C113" s="64">
        <v>165.0</v>
      </c>
      <c r="D113" s="64">
        <v>168.0</v>
      </c>
      <c r="E113" s="64">
        <v>9.0</v>
      </c>
      <c r="F113" s="64">
        <v>342.0</v>
      </c>
      <c r="G113" s="62"/>
    </row>
    <row r="114">
      <c r="G114" s="62"/>
    </row>
    <row r="115">
      <c r="G115" s="62"/>
    </row>
    <row r="116">
      <c r="G116" s="62"/>
    </row>
    <row r="117">
      <c r="G117" s="62"/>
    </row>
    <row r="118">
      <c r="G118" s="62"/>
    </row>
    <row r="119">
      <c r="G119" s="62"/>
    </row>
    <row r="121">
      <c r="A121" s="44"/>
    </row>
    <row r="122">
      <c r="A122" s="45" t="s">
        <v>294</v>
      </c>
    </row>
    <row r="123">
      <c r="A123" s="44"/>
    </row>
    <row r="124">
      <c r="A124" s="44" t="s">
        <v>295</v>
      </c>
    </row>
    <row r="125">
      <c r="A125" s="46" t="s">
        <v>2</v>
      </c>
      <c r="B125" s="46" t="s">
        <v>296</v>
      </c>
      <c r="C125" s="46" t="s">
        <v>297</v>
      </c>
      <c r="D125" s="46" t="s">
        <v>298</v>
      </c>
      <c r="E125" s="46" t="s">
        <v>269</v>
      </c>
    </row>
    <row r="126">
      <c r="A126" s="49" t="s">
        <v>270</v>
      </c>
      <c r="B126" s="50">
        <v>38.8</v>
      </c>
      <c r="C126" s="50">
        <v>18.4</v>
      </c>
      <c r="D126" s="50">
        <v>190.0</v>
      </c>
      <c r="E126" s="50">
        <v>3700.0</v>
      </c>
    </row>
    <row r="127">
      <c r="A127" s="51" t="s">
        <v>272</v>
      </c>
      <c r="B127" s="52">
        <v>49.55</v>
      </c>
      <c r="C127" s="52">
        <v>18.45</v>
      </c>
      <c r="D127" s="52">
        <v>196.0</v>
      </c>
      <c r="E127" s="52">
        <v>3700.0</v>
      </c>
    </row>
    <row r="128">
      <c r="A128" s="26" t="s">
        <v>271</v>
      </c>
      <c r="B128" s="53">
        <v>47.3</v>
      </c>
      <c r="C128" s="53">
        <v>15.0</v>
      </c>
      <c r="D128" s="53">
        <v>216.0</v>
      </c>
      <c r="E128" s="53">
        <v>5000.0</v>
      </c>
    </row>
    <row r="129">
      <c r="A129" s="54" t="s">
        <v>299</v>
      </c>
      <c r="B129" s="47">
        <v>44.45</v>
      </c>
      <c r="C129" s="47">
        <v>17.3</v>
      </c>
      <c r="D129" s="47">
        <v>197.0</v>
      </c>
      <c r="E129" s="47">
        <v>4050.0</v>
      </c>
    </row>
    <row r="130">
      <c r="A130" s="44"/>
    </row>
    <row r="131">
      <c r="A131" s="44"/>
    </row>
    <row r="132">
      <c r="A132" s="44"/>
    </row>
    <row r="133">
      <c r="A133" s="44"/>
    </row>
    <row r="134">
      <c r="A134" s="44" t="s">
        <v>300</v>
      </c>
    </row>
    <row r="135">
      <c r="A135" s="9" t="s">
        <v>2</v>
      </c>
      <c r="B135" s="70" t="s">
        <v>292</v>
      </c>
      <c r="C135" s="10" t="s">
        <v>296</v>
      </c>
      <c r="D135" s="10" t="s">
        <v>297</v>
      </c>
      <c r="E135" s="10" t="s">
        <v>298</v>
      </c>
      <c r="F135" s="10" t="s">
        <v>269</v>
      </c>
      <c r="G135" s="10" t="s">
        <v>301</v>
      </c>
    </row>
    <row r="136">
      <c r="A136" s="71" t="s">
        <v>270</v>
      </c>
      <c r="B136" s="49" t="s">
        <v>20</v>
      </c>
      <c r="C136" s="50">
        <v>37.0</v>
      </c>
      <c r="D136" s="50">
        <v>17.6</v>
      </c>
      <c r="E136" s="50">
        <v>188.0</v>
      </c>
      <c r="F136" s="50">
        <v>3400.0</v>
      </c>
      <c r="G136" s="50"/>
    </row>
    <row r="137">
      <c r="A137" s="28"/>
      <c r="B137" s="49" t="s">
        <v>18</v>
      </c>
      <c r="C137" s="50">
        <v>40.6</v>
      </c>
      <c r="D137" s="50">
        <v>18.9</v>
      </c>
      <c r="E137" s="50">
        <v>193.0</v>
      </c>
      <c r="F137" s="50">
        <v>4000.0</v>
      </c>
      <c r="G137" s="50"/>
    </row>
    <row r="138">
      <c r="A138" s="28"/>
      <c r="B138" s="49" t="s">
        <v>31</v>
      </c>
      <c r="C138" s="50">
        <v>37.8</v>
      </c>
      <c r="D138" s="50">
        <v>18.1</v>
      </c>
      <c r="E138" s="50">
        <v>186.0</v>
      </c>
      <c r="F138" s="50">
        <v>3475.0</v>
      </c>
      <c r="G138" s="50"/>
    </row>
    <row r="139">
      <c r="A139" s="29"/>
      <c r="B139" s="57"/>
      <c r="C139" s="72">
        <v>38.8</v>
      </c>
      <c r="D139" s="72">
        <v>18.4</v>
      </c>
      <c r="E139" s="72">
        <v>190.0</v>
      </c>
      <c r="F139" s="72">
        <v>3700.0</v>
      </c>
      <c r="G139" s="72">
        <f>F137-F136</f>
        <v>600</v>
      </c>
    </row>
    <row r="140">
      <c r="A140" s="73" t="s">
        <v>272</v>
      </c>
      <c r="B140" s="51" t="s">
        <v>20</v>
      </c>
      <c r="C140" s="52">
        <v>46.3</v>
      </c>
      <c r="D140" s="52">
        <v>17.65</v>
      </c>
      <c r="E140" s="52">
        <v>192.0</v>
      </c>
      <c r="F140" s="52">
        <v>3550.0</v>
      </c>
      <c r="G140" s="52"/>
    </row>
    <row r="141">
      <c r="A141" s="28"/>
      <c r="B141" s="51" t="s">
        <v>18</v>
      </c>
      <c r="C141" s="52">
        <v>50.95</v>
      </c>
      <c r="D141" s="52">
        <v>19.299999999999997</v>
      </c>
      <c r="E141" s="52">
        <v>200.5</v>
      </c>
      <c r="F141" s="52">
        <v>3950.0</v>
      </c>
      <c r="G141" s="52"/>
    </row>
    <row r="142">
      <c r="A142" s="29"/>
      <c r="B142" s="57"/>
      <c r="C142" s="72">
        <v>49.55</v>
      </c>
      <c r="D142" s="72">
        <v>18.45</v>
      </c>
      <c r="E142" s="72">
        <v>196.0</v>
      </c>
      <c r="F142" s="72">
        <v>3700.0</v>
      </c>
      <c r="G142" s="72">
        <f>F141-F140</f>
        <v>400</v>
      </c>
    </row>
    <row r="143">
      <c r="A143" s="74" t="s">
        <v>271</v>
      </c>
      <c r="B143" s="26" t="s">
        <v>20</v>
      </c>
      <c r="C143" s="53">
        <v>45.5</v>
      </c>
      <c r="D143" s="53">
        <v>14.25</v>
      </c>
      <c r="E143" s="53">
        <v>212.0</v>
      </c>
      <c r="F143" s="53">
        <v>4700.0</v>
      </c>
      <c r="G143" s="53"/>
    </row>
    <row r="144">
      <c r="A144" s="28"/>
      <c r="B144" s="26" t="s">
        <v>18</v>
      </c>
      <c r="C144" s="53">
        <v>49.5</v>
      </c>
      <c r="D144" s="53">
        <v>15.7</v>
      </c>
      <c r="E144" s="53">
        <v>221.0</v>
      </c>
      <c r="F144" s="53">
        <v>5500.0</v>
      </c>
      <c r="G144" s="53"/>
    </row>
    <row r="145">
      <c r="A145" s="28"/>
      <c r="B145" s="26" t="s">
        <v>31</v>
      </c>
      <c r="C145" s="53">
        <v>45.35</v>
      </c>
      <c r="D145" s="53">
        <v>14.350000000000001</v>
      </c>
      <c r="E145" s="53">
        <v>216.0</v>
      </c>
      <c r="F145" s="53">
        <v>4687.5</v>
      </c>
      <c r="G145" s="53"/>
    </row>
    <row r="146">
      <c r="A146" s="29"/>
      <c r="B146" s="57"/>
      <c r="C146" s="72">
        <v>47.3</v>
      </c>
      <c r="D146" s="72">
        <v>15.0</v>
      </c>
      <c r="E146" s="72">
        <v>216.0</v>
      </c>
      <c r="F146" s="72">
        <v>5000.0</v>
      </c>
      <c r="G146" s="72">
        <f>F144-F143</f>
        <v>800</v>
      </c>
    </row>
    <row r="147">
      <c r="A147" s="17"/>
    </row>
    <row r="148">
      <c r="A148" s="17"/>
      <c r="C148" s="75" t="s">
        <v>18</v>
      </c>
      <c r="D148" s="75" t="s">
        <v>20</v>
      </c>
    </row>
    <row r="149">
      <c r="A149" s="17"/>
      <c r="C149" s="76">
        <f>F137+F141+F144</f>
        <v>13450</v>
      </c>
      <c r="D149" s="76">
        <f>F136+F140+F143</f>
        <v>11650</v>
      </c>
    </row>
    <row r="150">
      <c r="A150" s="17"/>
    </row>
    <row r="151">
      <c r="A151" s="17"/>
    </row>
    <row r="152">
      <c r="A152" s="17" t="s">
        <v>302</v>
      </c>
    </row>
    <row r="153">
      <c r="A153" s="17" t="s">
        <v>303</v>
      </c>
    </row>
    <row r="154">
      <c r="A154" s="17" t="s">
        <v>304</v>
      </c>
    </row>
    <row r="155">
      <c r="A155" s="17" t="s">
        <v>305</v>
      </c>
    </row>
    <row r="158">
      <c r="A158" s="8"/>
    </row>
    <row r="161">
      <c r="A161" s="8"/>
    </row>
    <row r="162">
      <c r="A162" s="44"/>
    </row>
    <row r="163">
      <c r="A163" s="44"/>
    </row>
    <row r="164">
      <c r="A164" s="44"/>
    </row>
    <row r="169">
      <c r="A169" s="44"/>
    </row>
    <row r="172">
      <c r="B172" s="77"/>
    </row>
    <row r="175">
      <c r="A175" s="7"/>
    </row>
    <row r="176">
      <c r="A176" s="7"/>
    </row>
    <row r="177">
      <c r="A177" s="7"/>
    </row>
    <row r="178">
      <c r="A178" s="7"/>
    </row>
    <row r="190">
      <c r="A190" s="44"/>
    </row>
    <row r="191">
      <c r="A191" s="44"/>
    </row>
    <row r="192">
      <c r="A192" s="44"/>
    </row>
    <row r="193">
      <c r="A193" s="44"/>
    </row>
    <row r="195">
      <c r="A195" s="44"/>
    </row>
    <row r="196">
      <c r="A196" s="44"/>
    </row>
    <row r="197">
      <c r="A197" s="44"/>
    </row>
    <row r="198">
      <c r="A198" s="44"/>
    </row>
    <row r="199">
      <c r="A199" s="44"/>
    </row>
    <row r="200">
      <c r="A200" s="44"/>
    </row>
    <row r="201">
      <c r="A201" s="44"/>
    </row>
    <row r="202">
      <c r="A202" s="44"/>
    </row>
    <row r="207">
      <c r="A207" s="7"/>
    </row>
    <row r="208">
      <c r="A208" s="7"/>
    </row>
    <row r="209">
      <c r="A209" s="7"/>
    </row>
    <row r="210">
      <c r="A210" s="7" t="s">
        <v>306</v>
      </c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 t="s">
        <v>307</v>
      </c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 t="s">
        <v>308</v>
      </c>
    </row>
    <row r="235">
      <c r="A235" s="44"/>
    </row>
    <row r="244">
      <c r="A244" s="78" t="s">
        <v>309</v>
      </c>
    </row>
    <row r="245">
      <c r="B245" s="77"/>
    </row>
    <row r="246">
      <c r="A246" s="79"/>
      <c r="B246" s="77"/>
    </row>
    <row r="251">
      <c r="A251" s="80" t="s">
        <v>310</v>
      </c>
    </row>
    <row r="252">
      <c r="A252" s="81"/>
      <c r="B252" s="81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</row>
    <row r="254">
      <c r="B254" s="77" t="s">
        <v>311</v>
      </c>
    </row>
    <row r="258">
      <c r="B258" s="77" t="s">
        <v>312</v>
      </c>
    </row>
    <row r="259">
      <c r="B259" s="77" t="s">
        <v>313</v>
      </c>
    </row>
    <row r="261">
      <c r="A261" s="7" t="s">
        <v>314</v>
      </c>
    </row>
    <row r="262">
      <c r="B262" s="7" t="s">
        <v>315</v>
      </c>
    </row>
    <row r="263">
      <c r="B263" s="7" t="s">
        <v>316</v>
      </c>
    </row>
    <row r="264">
      <c r="B264" s="7" t="s">
        <v>317</v>
      </c>
    </row>
    <row r="265">
      <c r="B265" s="7" t="s">
        <v>318</v>
      </c>
    </row>
    <row r="266">
      <c r="A266" s="7" t="s">
        <v>319</v>
      </c>
    </row>
  </sheetData>
  <mergeCells count="6">
    <mergeCell ref="A45:A48"/>
    <mergeCell ref="A49:A50"/>
    <mergeCell ref="A51:A52"/>
    <mergeCell ref="A136:A139"/>
    <mergeCell ref="A140:A142"/>
    <mergeCell ref="A143:A146"/>
  </mergeCells>
  <hyperlinks>
    <hyperlink r:id="rId2" location="Balance-del-dataset" ref="A244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3">
      <c r="A3" s="82" t="s">
        <v>320</v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</sheetData>
  <drawing r:id="rId5"/>
</worksheet>
</file>